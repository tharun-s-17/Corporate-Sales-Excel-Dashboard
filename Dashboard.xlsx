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de6fad1bf748a9e6/Desktop/Tharun/Projects/"/>
    </mc:Choice>
  </mc:AlternateContent>
  <xr:revisionPtr revIDLastSave="158" documentId="13_ncr:1_{2061E09A-3685-42D1-81D5-823C2F80CB6F}" xr6:coauthVersionLast="47" xr6:coauthVersionMax="47" xr10:uidLastSave="{14B55C04-2B67-4D90-A0F4-7DA50A8AE1AB}"/>
  <bookViews>
    <workbookView xWindow="-108" yWindow="-108" windowWidth="23256" windowHeight="12456" xr2:uid="{DE03F7B7-3D92-4792-81B2-287B13C1B6ED}"/>
  </bookViews>
  <sheets>
    <sheet name="Dashboard" sheetId="7" r:id="rId1"/>
    <sheet name="DataSet" sheetId="2" r:id="rId2"/>
    <sheet name="Pivot Table" sheetId="4" r:id="rId3"/>
  </sheets>
  <definedNames>
    <definedName name="Margin">'Pivot Table'!$A$10</definedName>
    <definedName name="Netsales">'Pivot Table'!$A$4</definedName>
    <definedName name="Profit">'Pivot Table'!$A$7</definedName>
    <definedName name="Slicer_Category">#N/A</definedName>
    <definedName name="Slicer_Month">#N/A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5" i="2" l="1"/>
  <c r="Q5" i="2"/>
  <c r="P5" i="2"/>
  <c r="R6" i="2"/>
  <c r="R7" i="2"/>
  <c r="R8" i="2"/>
  <c r="R9" i="2"/>
  <c r="R10" i="2"/>
  <c r="R11" i="2"/>
  <c r="R12" i="2"/>
  <c r="R13" i="2"/>
  <c r="R14" i="2"/>
  <c r="R15" i="2"/>
  <c r="R16" i="2"/>
  <c r="R17" i="2"/>
  <c r="R18" i="2"/>
  <c r="R19" i="2"/>
  <c r="R20" i="2"/>
  <c r="R21" i="2"/>
  <c r="R22" i="2"/>
  <c r="R23" i="2"/>
  <c r="R24" i="2"/>
  <c r="Q6" i="2"/>
  <c r="Q7" i="2"/>
  <c r="Q8" i="2"/>
  <c r="Q9" i="2"/>
  <c r="Q10" i="2"/>
  <c r="Q11" i="2"/>
  <c r="Q12" i="2"/>
  <c r="Q13" i="2"/>
  <c r="Q14" i="2"/>
  <c r="Q15" i="2"/>
  <c r="Q16" i="2"/>
  <c r="Q17" i="2"/>
  <c r="Q18" i="2"/>
  <c r="Q19" i="2"/>
  <c r="Q20" i="2"/>
  <c r="Q21" i="2"/>
  <c r="Q22" i="2"/>
  <c r="Q23" i="2"/>
  <c r="Q24" i="2"/>
  <c r="P6" i="2"/>
  <c r="P7" i="2"/>
  <c r="P8" i="2"/>
  <c r="P9" i="2"/>
  <c r="P10" i="2"/>
  <c r="P11" i="2"/>
  <c r="P12" i="2"/>
  <c r="P13" i="2"/>
  <c r="P14" i="2"/>
  <c r="P15" i="2"/>
  <c r="P16" i="2"/>
  <c r="P17" i="2"/>
  <c r="P18" i="2"/>
  <c r="P19" i="2"/>
  <c r="P20" i="2"/>
  <c r="P21" i="2"/>
  <c r="P22" i="2"/>
  <c r="P23" i="2"/>
  <c r="P2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44E547-DBD7-4304-90CA-08E94BD9BA35}" keepAlive="1" name="Query - sales_data txt" description="Connection to the 'sales_data txt' query in the workbook." type="5" refreshedVersion="8" background="1" saveData="1">
    <dbPr connection="Provider=Microsoft.Mashup.OleDb.1;Data Source=$Workbook$;Location=&quot;sales_data txt&quot;;Extended Properties=&quot;&quot;" command="SELECT * FROM [sales_data txt]"/>
  </connection>
</connections>
</file>

<file path=xl/sharedStrings.xml><?xml version="1.0" encoding="utf-8"?>
<sst xmlns="http://schemas.openxmlformats.org/spreadsheetml/2006/main" count="238" uniqueCount="103">
  <si>
    <t>Order ID</t>
  </si>
  <si>
    <t>Order Date</t>
  </si>
  <si>
    <t>Region</t>
  </si>
  <si>
    <t>Country</t>
  </si>
  <si>
    <t>Category</t>
  </si>
  <si>
    <t>Sub-Category</t>
  </si>
  <si>
    <t>Product</t>
  </si>
  <si>
    <t>Sales</t>
  </si>
  <si>
    <t>Profit</t>
  </si>
  <si>
    <t>Quantity</t>
  </si>
  <si>
    <t>Discount</t>
  </si>
  <si>
    <t>Customer Type</t>
  </si>
  <si>
    <t>Segment</t>
  </si>
  <si>
    <t>Ship Mode</t>
  </si>
  <si>
    <t>2024-01-02</t>
  </si>
  <si>
    <t>Asia</t>
  </si>
  <si>
    <t>India</t>
  </si>
  <si>
    <t>Electronics</t>
  </si>
  <si>
    <t>Accessories</t>
  </si>
  <si>
    <t>Headphones</t>
  </si>
  <si>
    <t>Consumer</t>
  </si>
  <si>
    <t>Urban</t>
  </si>
  <si>
    <t>Standard Class</t>
  </si>
  <si>
    <t>2024-01-03</t>
  </si>
  <si>
    <t>Europe</t>
  </si>
  <si>
    <t>Germany</t>
  </si>
  <si>
    <t>Furniture</t>
  </si>
  <si>
    <t>Chairs</t>
  </si>
  <si>
    <t>Office Chair</t>
  </si>
  <si>
    <t>Corporate</t>
  </si>
  <si>
    <t>SMB</t>
  </si>
  <si>
    <t>Second Class</t>
  </si>
  <si>
    <t>2024-01-05</t>
  </si>
  <si>
    <t>North America</t>
  </si>
  <si>
    <t>USA</t>
  </si>
  <si>
    <t>Computers</t>
  </si>
  <si>
    <t>Laptop</t>
  </si>
  <si>
    <t>Enterprise</t>
  </si>
  <si>
    <t>2024-01-06</t>
  </si>
  <si>
    <t>Japan</t>
  </si>
  <si>
    <t>Clothing</t>
  </si>
  <si>
    <t>Outerwear</t>
  </si>
  <si>
    <t>Jacket</t>
  </si>
  <si>
    <t>2024-01-08</t>
  </si>
  <si>
    <t>France</t>
  </si>
  <si>
    <t>Mobiles</t>
  </si>
  <si>
    <t>Smartphone</t>
  </si>
  <si>
    <t>First Class</t>
  </si>
  <si>
    <t>2024-01-10</t>
  </si>
  <si>
    <t>Canada</t>
  </si>
  <si>
    <t>Tables</t>
  </si>
  <si>
    <t>Desk</t>
  </si>
  <si>
    <t>Home Office</t>
  </si>
  <si>
    <t>2024-01-12</t>
  </si>
  <si>
    <t>Tops</t>
  </si>
  <si>
    <t>T-Shirt</t>
  </si>
  <si>
    <t>2024-01-14</t>
  </si>
  <si>
    <t>UK</t>
  </si>
  <si>
    <t>Tablets</t>
  </si>
  <si>
    <t>Tablet</t>
  </si>
  <si>
    <t>2024-01-16</t>
  </si>
  <si>
    <t>Footwear</t>
  </si>
  <si>
    <t>Shoes</t>
  </si>
  <si>
    <t>2024-01-18</t>
  </si>
  <si>
    <t>China</t>
  </si>
  <si>
    <t>Cameras</t>
  </si>
  <si>
    <t>Camera</t>
  </si>
  <si>
    <t>2024-02-01</t>
  </si>
  <si>
    <t>Winterwear</t>
  </si>
  <si>
    <t>Sweater</t>
  </si>
  <si>
    <t>2024-02-03</t>
  </si>
  <si>
    <t>Monitors</t>
  </si>
  <si>
    <t>Monitor</t>
  </si>
  <si>
    <t>2024-02-05</t>
  </si>
  <si>
    <t>Storage</t>
  </si>
  <si>
    <t>Bookshelf</t>
  </si>
  <si>
    <t>2024-02-07</t>
  </si>
  <si>
    <t>Table</t>
  </si>
  <si>
    <t>2024-02-09</t>
  </si>
  <si>
    <t>Keyboard</t>
  </si>
  <si>
    <t>2024-02-11</t>
  </si>
  <si>
    <t>Denim</t>
  </si>
  <si>
    <t>Jeans</t>
  </si>
  <si>
    <t>2024-02-13</t>
  </si>
  <si>
    <t>Mouse</t>
  </si>
  <si>
    <t>2024-02-15</t>
  </si>
  <si>
    <t>Cabinet</t>
  </si>
  <si>
    <t>2024-02-17</t>
  </si>
  <si>
    <t>Cap</t>
  </si>
  <si>
    <t>2024-02-19</t>
  </si>
  <si>
    <t>Audio</t>
  </si>
  <si>
    <t>Speaker</t>
  </si>
  <si>
    <t>Net Sales</t>
  </si>
  <si>
    <t>Profit Margin</t>
  </si>
  <si>
    <t>Month</t>
  </si>
  <si>
    <t>Sum of Net Sales</t>
  </si>
  <si>
    <t>Sum of Profit</t>
  </si>
  <si>
    <t>Average of Profit Margin</t>
  </si>
  <si>
    <t>Row Labels</t>
  </si>
  <si>
    <t>January</t>
  </si>
  <si>
    <t>Grand Total</t>
  </si>
  <si>
    <t>Column Labels</t>
  </si>
  <si>
    <r>
      <t>*All Figures in INR(</t>
    </r>
    <r>
      <rPr>
        <b/>
        <sz val="11"/>
        <color theme="1"/>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</si>
</sst>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8"/>
      <name val="Calibri"/>
      <family val="2"/>
      <scheme val="minor"/>
    </font>
    <font>
      <b/>
      <sz val="11"/>
      <color theme="1"/>
      <name val="Calibri"/>
      <family val="2"/>
      <scheme val="minor"/>
    </font>
    <font>
      <b/>
      <sz val="11"/>
      <color theme="1"/>
      <name val="Calibri"/>
      <family val="2"/>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7">
    <xf numFmtId="0" fontId="0" fillId="0" borderId="0" xfId="0"/>
    <xf numFmtId="2" fontId="0" fillId="0" borderId="0" xfId="0" applyNumberFormat="1"/>
    <xf numFmtId="10" fontId="0" fillId="0" borderId="0" xfId="0" applyNumberFormat="1"/>
    <xf numFmtId="0" fontId="0" fillId="2" borderId="0" xfId="0" applyFill="1"/>
    <xf numFmtId="3" fontId="0" fillId="0" borderId="0" xfId="0" applyNumberFormat="1"/>
    <xf numFmtId="3" fontId="0" fillId="0" borderId="0" xfId="0" pivotButton="1" applyNumberFormat="1"/>
    <xf numFmtId="3" fontId="0" fillId="0" borderId="0" xfId="0" applyNumberFormat="1" applyAlignment="1">
      <alignment horizontal="left"/>
    </xf>
    <xf numFmtId="3" fontId="0" fillId="0" borderId="1" xfId="0" applyNumberFormat="1" applyBorder="1"/>
    <xf numFmtId="3" fontId="0" fillId="0" borderId="2" xfId="0" applyNumberFormat="1" applyBorder="1"/>
    <xf numFmtId="3" fontId="0" fillId="0" borderId="3" xfId="0" applyNumberFormat="1" applyBorder="1"/>
    <xf numFmtId="3" fontId="0" fillId="0" borderId="4" xfId="0" applyNumberFormat="1" applyBorder="1"/>
    <xf numFmtId="3" fontId="0" fillId="0" borderId="5" xfId="0" applyNumberFormat="1" applyBorder="1"/>
    <xf numFmtId="3" fontId="0" fillId="0" borderId="6" xfId="0" applyNumberFormat="1" applyBorder="1"/>
    <xf numFmtId="3" fontId="0" fillId="0" borderId="7" xfId="0" applyNumberFormat="1" applyBorder="1"/>
    <xf numFmtId="3" fontId="0" fillId="0" borderId="8" xfId="0" applyNumberFormat="1" applyBorder="1"/>
    <xf numFmtId="3" fontId="0" fillId="0" borderId="9" xfId="0" applyNumberFormat="1" applyBorder="1"/>
    <xf numFmtId="0" fontId="2" fillId="0" borderId="0" xfId="0" applyFont="1"/>
  </cellXfs>
  <cellStyles count="1">
    <cellStyle name="Normal" xfId="0" builtinId="0"/>
  </cellStyles>
  <dxfs count="114">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14" formatCode="0.00%"/>
    </dxf>
    <dxf>
      <numFmt numFmtId="0" formatCode="General"/>
    </dxf>
    <dxf>
      <numFmt numFmtId="2" formatCode="0.00"/>
    </dxf>
    <dxf>
      <numFmt numFmtId="2" formatCode="0.00"/>
    </dxf>
    <dxf>
      <font>
        <color theme="0"/>
      </font>
    </dxf>
    <dxf>
      <font>
        <color theme="0"/>
      </font>
      <fill>
        <patternFill>
          <fgColor theme="1" tint="0.499984740745262"/>
          <bgColor theme="1" tint="0.24994659260841701"/>
        </patternFill>
      </fill>
      <border diagonalUp="0" diagonalDown="0">
        <left style="medium">
          <color theme="1"/>
        </left>
        <right style="medium">
          <color theme="1"/>
        </right>
        <top style="medium">
          <color theme="1"/>
        </top>
        <bottom style="medium">
          <color theme="1"/>
        </bottom>
        <vertical style="thin">
          <color theme="0"/>
        </vertical>
        <horizontal style="thin">
          <color theme="0"/>
        </horizontal>
      </border>
    </dxf>
    <dxf>
      <font>
        <color theme="7" tint="0.59996337778862885"/>
        <name val="Impact"/>
        <family val="2"/>
      </font>
      <fill>
        <patternFill>
          <fgColor theme="2" tint="-0.24994659260841701"/>
          <bgColor theme="1" tint="0.14993743705557422"/>
        </patternFill>
      </fill>
      <border>
        <left style="thick">
          <color auto="1"/>
        </left>
        <right style="thick">
          <color auto="1"/>
        </right>
        <top style="thick">
          <color auto="1"/>
        </top>
        <bottom style="thick">
          <color auto="1"/>
        </bottom>
      </border>
    </dxf>
    <dxf>
      <font>
        <b/>
        <i val="0"/>
        <color theme="0"/>
        <name val="Impact"/>
        <family val="2"/>
        <scheme val="none"/>
      </font>
      <fill>
        <gradientFill degree="90">
          <stop position="0">
            <color theme="2" tint="-0.25098422193060094"/>
          </stop>
          <stop position="1">
            <color theme="2" tint="-0.89803765984069339"/>
          </stop>
        </gradientFill>
      </fill>
      <border>
        <left style="thin">
          <color auto="1"/>
        </left>
        <right style="thin">
          <color auto="1"/>
        </right>
        <top style="thin">
          <color auto="1"/>
        </top>
        <bottom style="thin">
          <color auto="1"/>
        </bottom>
      </border>
    </dxf>
    <dxf>
      <font>
        <color rgb="FFFFFF00"/>
        <name val="Impact"/>
        <family val="2"/>
      </font>
      <fill>
        <gradientFill degree="90">
          <stop position="0">
            <color theme="2" tint="-0.89803765984069339"/>
          </stop>
          <stop position="1">
            <color theme="2" tint="-9.8025452436902985E-2"/>
          </stop>
        </gradientFill>
      </fill>
      <border>
        <left style="thin">
          <color auto="1"/>
        </left>
        <right style="thin">
          <color auto="1"/>
        </right>
        <top style="thin">
          <color auto="1"/>
        </top>
        <bottom style="thin">
          <color auto="1"/>
        </bottom>
      </border>
    </dxf>
    <dxf>
      <font>
        <color theme="8" tint="0.59996337778862885"/>
        <name val="Impact"/>
        <family val="2"/>
      </font>
      <fill>
        <patternFill>
          <bgColor theme="1"/>
        </patternFill>
      </fill>
      <border>
        <left style="thin">
          <color auto="1"/>
        </left>
        <right style="thin">
          <color auto="1"/>
        </right>
        <top style="thin">
          <color auto="1"/>
        </top>
        <bottom style="thin">
          <color auto="1"/>
        </bottom>
      </border>
    </dxf>
    <dxf>
      <font>
        <color theme="8" tint="0.39994506668294322"/>
      </font>
      <fill>
        <patternFill>
          <bgColor theme="1" tint="0.14996795556505021"/>
        </patternFill>
      </fill>
    </dxf>
    <dxf>
      <font>
        <color theme="2" tint="-0.24994659260841701"/>
      </font>
      <fill>
        <patternFill>
          <bgColor theme="2" tint="-0.749961851863155"/>
        </patternFill>
      </fill>
      <border>
        <left style="thin">
          <color auto="1"/>
        </left>
        <right style="thin">
          <color auto="1"/>
        </right>
        <top style="thin">
          <color auto="1"/>
        </top>
        <bottom style="thin">
          <color auto="1"/>
        </bottom>
      </border>
    </dxf>
    <dxf>
      <font>
        <b val="0"/>
        <i val="0"/>
        <strike val="0"/>
        <color theme="2" tint="-0.499984740745262"/>
        <name val="Impact"/>
        <family val="2"/>
      </font>
      <fill>
        <patternFill>
          <bgColor theme="1"/>
        </patternFill>
      </fill>
      <border diagonalUp="0" diagonalDown="0">
        <left/>
        <right/>
        <top/>
        <bottom/>
        <vertical/>
        <horizontal/>
      </border>
    </dxf>
  </dxfs>
  <tableStyles count="8" defaultTableStyle="TableStyleMedium2" defaultPivotStyle="PivotStyleLight16">
    <tableStyle name="Slicer Style 1" pivot="0" table="0" count="1" xr9:uid="{F1D1D056-4FCF-4E18-8E50-525D4583FA2F}">
      <tableStyleElement type="wholeTable" dxfId="113"/>
    </tableStyle>
    <tableStyle name="Slicer Style 2" pivot="0" table="0" count="1" xr9:uid="{15A12221-52C7-47F2-8CC9-64D540B86AEF}">
      <tableStyleElement type="wholeTable" dxfId="112"/>
    </tableStyle>
    <tableStyle name="Slicer Style 3" pivot="0" table="0" count="1" xr9:uid="{9E3A1F7E-CEAE-42C2-A6F8-D2516742B100}">
      <tableStyleElement type="wholeTable" dxfId="111"/>
    </tableStyle>
    <tableStyle name="Slicer Style 4" pivot="0" table="0" count="1" xr9:uid="{CCAD6D96-4718-47B7-8930-45F3D0227ED0}">
      <tableStyleElement type="wholeTable" dxfId="110"/>
    </tableStyle>
    <tableStyle name="Slicer Style 5" pivot="0" table="0" count="1" xr9:uid="{AED97A2D-E722-4FD3-9217-A4F6DACEB5A4}">
      <tableStyleElement type="wholeTable" dxfId="109"/>
    </tableStyle>
    <tableStyle name="Slicer Style 6" pivot="0" table="0" count="1" xr9:uid="{8B581D2A-BD1A-427A-AD13-DA1EB889921B}">
      <tableStyleElement type="wholeTable" dxfId="108"/>
    </tableStyle>
    <tableStyle name="Slicer Style 7" pivot="0" table="0" count="1" xr9:uid="{2E9CB9B5-3231-47BB-87C9-593B7C85360C}">
      <tableStyleElement type="wholeTable" dxfId="107"/>
    </tableStyle>
    <tableStyle name="Slicer Style 8" pivot="0" table="0" count="2" xr9:uid="{898D856B-8F0B-4DCC-941E-B9D972ACD190}">
      <tableStyleElement type="wholeTable" dxfId="106"/>
      <tableStyleElement type="headerRow" dxfId="105"/>
    </tableStyle>
  </tableStyles>
  <colors>
    <mruColors>
      <color rgb="FFFF99FF"/>
      <color rgb="FFE45D0A"/>
      <color rgb="FFFF33CC"/>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 name="Slicer Style 8"/>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Table!PivotTable13</c:name>
    <c:fmtId val="13"/>
  </c:pivotSource>
  <c:chart>
    <c:autoTitleDeleted val="0"/>
    <c:pivotFmts>
      <c:pivotFmt>
        <c:idx val="0"/>
        <c:spPr>
          <a:solidFill>
            <a:srgbClr val="FF33CC"/>
          </a:solidFill>
          <a:ln>
            <a:noFill/>
          </a:ln>
          <a:effectLst>
            <a:outerShdw blurRad="50800" dist="38100" dir="2700000" algn="tl" rotWithShape="0">
              <a:prstClr val="black">
                <a:alpha val="40000"/>
              </a:prstClr>
            </a:outerShdw>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circle"/>
          <c:size val="6"/>
          <c:spPr>
            <a:gradFill>
              <a:gsLst>
                <a:gs pos="0">
                  <a:schemeClr val="accent3"/>
                </a:gs>
                <a:gs pos="46000">
                  <a:schemeClr val="accent3"/>
                </a:gs>
                <a:gs pos="100000">
                  <a:schemeClr val="accent3">
                    <a:lumMod val="20000"/>
                    <a:lumOff val="80000"/>
                    <a:alpha val="0"/>
                  </a:schemeClr>
                </a:gs>
              </a:gsLst>
              <a:path path="circle">
                <a:fillToRect l="50000" t="-80000" r="50000" b="180000"/>
              </a:path>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33CC"/>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33CC"/>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33CC"/>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33CC"/>
          </a:solidFill>
          <a:ln>
            <a:noFill/>
          </a:ln>
          <a:effectLst>
            <a:glow rad="63500">
              <a:schemeClr val="accent1">
                <a:satMod val="175000"/>
                <a:alpha val="40000"/>
              </a:schemeClr>
            </a:glow>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F0"/>
          </a:solidFill>
          <a:ln>
            <a:noFill/>
          </a:ln>
          <a:effectLst>
            <a:glow rad="635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030A0"/>
          </a:solidFill>
          <a:ln>
            <a:noFill/>
          </a:ln>
          <a:effectLst>
            <a:glow rad="63500">
              <a:srgbClr val="7030A0">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Table'!$B$26:$B$27</c:f>
              <c:strCache>
                <c:ptCount val="1"/>
                <c:pt idx="0">
                  <c:v>Clothing</c:v>
                </c:pt>
              </c:strCache>
            </c:strRef>
          </c:tx>
          <c:spPr>
            <a:solidFill>
              <a:srgbClr val="FF33CC"/>
            </a:solidFill>
            <a:ln>
              <a:noFill/>
            </a:ln>
            <a:effectLst>
              <a:glow rad="63500">
                <a:schemeClr val="accent1">
                  <a:satMod val="175000"/>
                  <a:alpha val="40000"/>
                </a:schemeClr>
              </a:glow>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Table'!$A$28:$A$31</c:f>
              <c:strCache>
                <c:ptCount val="3"/>
                <c:pt idx="0">
                  <c:v>Asia</c:v>
                </c:pt>
                <c:pt idx="1">
                  <c:v>Europe</c:v>
                </c:pt>
                <c:pt idx="2">
                  <c:v>North America</c:v>
                </c:pt>
              </c:strCache>
            </c:strRef>
          </c:cat>
          <c:val>
            <c:numRef>
              <c:f>'Pivot Table'!$B$28:$B$31</c:f>
              <c:numCache>
                <c:formatCode>#,##0</c:formatCode>
                <c:ptCount val="3"/>
                <c:pt idx="0">
                  <c:v>240</c:v>
                </c:pt>
                <c:pt idx="2">
                  <c:v>202.4</c:v>
                </c:pt>
              </c:numCache>
            </c:numRef>
          </c:val>
          <c:extLst>
            <c:ext xmlns:c16="http://schemas.microsoft.com/office/drawing/2014/chart" uri="{C3380CC4-5D6E-409C-BE32-E72D297353CC}">
              <c16:uniqueId val="{00000000-76FA-40C3-A793-DA17D58013DF}"/>
            </c:ext>
          </c:extLst>
        </c:ser>
        <c:ser>
          <c:idx val="1"/>
          <c:order val="1"/>
          <c:tx>
            <c:strRef>
              <c:f>'Pivot Table'!$C$26:$C$27</c:f>
              <c:strCache>
                <c:ptCount val="1"/>
                <c:pt idx="0">
                  <c:v>Electronics</c:v>
                </c:pt>
              </c:strCache>
            </c:strRef>
          </c:tx>
          <c:spPr>
            <a:solidFill>
              <a:srgbClr val="00B0F0"/>
            </a:solidFill>
            <a:ln>
              <a:noFill/>
            </a:ln>
            <a:effectLst>
              <a:glow rad="63500">
                <a:schemeClr val="accent1">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Table'!$A$28:$A$31</c:f>
              <c:strCache>
                <c:ptCount val="3"/>
                <c:pt idx="0">
                  <c:v>Asia</c:v>
                </c:pt>
                <c:pt idx="1">
                  <c:v>Europe</c:v>
                </c:pt>
                <c:pt idx="2">
                  <c:v>North America</c:v>
                </c:pt>
              </c:strCache>
            </c:strRef>
          </c:cat>
          <c:val>
            <c:numRef>
              <c:f>'Pivot Table'!$C$28:$C$31</c:f>
              <c:numCache>
                <c:formatCode>#,##0</c:formatCode>
                <c:ptCount val="3"/>
                <c:pt idx="0">
                  <c:v>564</c:v>
                </c:pt>
                <c:pt idx="1">
                  <c:v>1382</c:v>
                </c:pt>
                <c:pt idx="2">
                  <c:v>1020</c:v>
                </c:pt>
              </c:numCache>
            </c:numRef>
          </c:val>
          <c:extLst>
            <c:ext xmlns:c16="http://schemas.microsoft.com/office/drawing/2014/chart" uri="{C3380CC4-5D6E-409C-BE32-E72D297353CC}">
              <c16:uniqueId val="{00000001-9B51-4770-A82F-A550254CF097}"/>
            </c:ext>
          </c:extLst>
        </c:ser>
        <c:ser>
          <c:idx val="2"/>
          <c:order val="2"/>
          <c:tx>
            <c:strRef>
              <c:f>'Pivot Table'!$D$26:$D$27</c:f>
              <c:strCache>
                <c:ptCount val="1"/>
                <c:pt idx="0">
                  <c:v>Furniture</c:v>
                </c:pt>
              </c:strCache>
            </c:strRef>
          </c:tx>
          <c:spPr>
            <a:solidFill>
              <a:srgbClr val="7030A0"/>
            </a:solidFill>
            <a:ln>
              <a:noFill/>
            </a:ln>
            <a:effectLst>
              <a:glow rad="63500">
                <a:srgbClr val="7030A0">
                  <a:alpha val="40000"/>
                </a:srgb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Table'!$A$28:$A$31</c:f>
              <c:strCache>
                <c:ptCount val="3"/>
                <c:pt idx="0">
                  <c:v>Asia</c:v>
                </c:pt>
                <c:pt idx="1">
                  <c:v>Europe</c:v>
                </c:pt>
                <c:pt idx="2">
                  <c:v>North America</c:v>
                </c:pt>
              </c:strCache>
            </c:strRef>
          </c:cat>
          <c:val>
            <c:numRef>
              <c:f>'Pivot Table'!$D$28:$D$31</c:f>
              <c:numCache>
                <c:formatCode>#,##0</c:formatCode>
                <c:ptCount val="3"/>
                <c:pt idx="1">
                  <c:v>306</c:v>
                </c:pt>
                <c:pt idx="2">
                  <c:v>427.5</c:v>
                </c:pt>
              </c:numCache>
            </c:numRef>
          </c:val>
          <c:extLst>
            <c:ext xmlns:c16="http://schemas.microsoft.com/office/drawing/2014/chart" uri="{C3380CC4-5D6E-409C-BE32-E72D297353CC}">
              <c16:uniqueId val="{00000002-9B51-4770-A82F-A550254CF097}"/>
            </c:ext>
          </c:extLst>
        </c:ser>
        <c:dLbls>
          <c:dLblPos val="outEnd"/>
          <c:showLegendKey val="0"/>
          <c:showVal val="1"/>
          <c:showCatName val="0"/>
          <c:showSerName val="0"/>
          <c:showPercent val="0"/>
          <c:showBubbleSize val="0"/>
        </c:dLbls>
        <c:gapWidth val="326"/>
        <c:overlap val="-58"/>
        <c:axId val="1648921664"/>
        <c:axId val="1648923584"/>
      </c:barChart>
      <c:catAx>
        <c:axId val="164892166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8923584"/>
        <c:crosses val="autoZero"/>
        <c:auto val="1"/>
        <c:lblAlgn val="ctr"/>
        <c:lblOffset val="100"/>
        <c:noMultiLvlLbl val="0"/>
      </c:catAx>
      <c:valAx>
        <c:axId val="16489235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892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Table!PivotTable11</c:name>
    <c:fmtId val="32"/>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38100">
            <a:solidFill>
              <a:srgbClr val="FF0000"/>
            </a:solidFill>
            <a:prstDash val="solid"/>
            <a:headEnd type="oval"/>
          </a:ln>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1"/>
        <c:ser>
          <c:idx val="0"/>
          <c:order val="0"/>
          <c:tx>
            <c:strRef>
              <c:f>'Pivot Table'!$B$13</c:f>
              <c:strCache>
                <c:ptCount val="1"/>
                <c:pt idx="0">
                  <c:v>Total</c:v>
                </c:pt>
              </c:strCache>
            </c:strRef>
          </c:tx>
          <c:spPr>
            <a:ln w="38100">
              <a:solidFill>
                <a:srgbClr val="FF0000"/>
              </a:solidFill>
              <a:prstDash val="solid"/>
              <a:headEnd type="oval"/>
            </a:ln>
          </c:spPr>
          <c:marker>
            <c:symbol val="none"/>
          </c:marker>
          <c:dLbls>
            <c:spPr>
              <a:noFill/>
              <a:ln>
                <a:noFill/>
              </a:ln>
              <a:effectLst/>
            </c:spPr>
            <c:txPr>
              <a:bodyPr wrap="square" lIns="38100" tIns="19050" rIns="38100" bIns="19050" anchor="ctr">
                <a:spAutoFit/>
              </a:bodyPr>
              <a:lstStyle/>
              <a:p>
                <a:pPr>
                  <a:defRPr>
                    <a:solidFill>
                      <a:schemeClr val="bg1"/>
                    </a:solidFil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Table'!$A$14:$A$15</c:f>
              <c:strCache>
                <c:ptCount val="1"/>
                <c:pt idx="0">
                  <c:v>January</c:v>
                </c:pt>
              </c:strCache>
            </c:strRef>
          </c:cat>
          <c:val>
            <c:numRef>
              <c:f>'Pivot Table'!$B$14:$B$15</c:f>
              <c:numCache>
                <c:formatCode>#,##0</c:formatCode>
                <c:ptCount val="1"/>
                <c:pt idx="0">
                  <c:v>4141.8999999999996</c:v>
                </c:pt>
              </c:numCache>
            </c:numRef>
          </c:val>
          <c:smooth val="0"/>
          <c:extLst>
            <c:ext xmlns:c16="http://schemas.microsoft.com/office/drawing/2014/chart" uri="{C3380CC4-5D6E-409C-BE32-E72D297353CC}">
              <c16:uniqueId val="{00000002-D48A-4439-9645-05A224EFEAE4}"/>
            </c:ext>
          </c:extLst>
        </c:ser>
        <c:dLbls>
          <c:dLblPos val="b"/>
          <c:showLegendKey val="0"/>
          <c:showVal val="1"/>
          <c:showCatName val="0"/>
          <c:showSerName val="0"/>
          <c:showPercent val="0"/>
          <c:showBubbleSize val="0"/>
        </c:dLbls>
        <c:smooth val="0"/>
        <c:axId val="429319504"/>
        <c:axId val="1649118256"/>
      </c:lineChart>
      <c:catAx>
        <c:axId val="42931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9118256"/>
        <c:crosses val="autoZero"/>
        <c:auto val="1"/>
        <c:lblAlgn val="ctr"/>
        <c:lblOffset val="100"/>
        <c:noMultiLvlLbl val="0"/>
      </c:catAx>
      <c:valAx>
        <c:axId val="1649118256"/>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9319504"/>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Table!PivotTable12</c:name>
    <c:fmtId val="24"/>
  </c:pivotSource>
  <c:chart>
    <c:autoTitleDeleted val="0"/>
    <c:pivotFmts>
      <c:pivotFmt>
        <c:idx val="0"/>
        <c:spPr>
          <a:solidFill>
            <a:srgbClr val="00B0F0"/>
          </a:solidFill>
          <a:ln>
            <a:noFill/>
          </a:ln>
          <a:effectLst>
            <a:outerShdw blurRad="50800" dist="38100" dir="2700000" algn="tl" rotWithShape="0">
              <a:schemeClr val="bg2">
                <a:lumMod val="90000"/>
                <a:alpha val="40000"/>
              </a:schemeClr>
            </a:outerShdw>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50800" dist="38100" dir="2700000" algn="tl" rotWithShape="0">
              <a:schemeClr val="bg2">
                <a:lumMod val="90000"/>
                <a:alpha val="40000"/>
              </a:schemeClr>
            </a:outerShdw>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a:outerShdw blurRad="50800" dist="38100" dir="2700000" algn="tl" rotWithShape="0">
              <a:schemeClr val="bg2">
                <a:lumMod val="90000"/>
                <a:alpha val="40000"/>
              </a:schemeClr>
            </a:outerShdw>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a:outerShdw blurRad="50800" dist="38100" dir="2700000" algn="tl" rotWithShape="0">
              <a:schemeClr val="bg2">
                <a:lumMod val="90000"/>
                <a:alpha val="40000"/>
              </a:schemeClr>
            </a:outerShdw>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a:outerShdw blurRad="50800" dist="38100" dir="2700000" algn="tl" rotWithShape="0">
              <a:schemeClr val="bg2">
                <a:lumMod val="90000"/>
                <a:alpha val="40000"/>
              </a:schemeClr>
            </a:outerShdw>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glow rad="63500">
              <a:schemeClr val="accent1">
                <a:satMod val="175000"/>
                <a:alpha val="40000"/>
              </a:schemeClr>
            </a:glow>
            <a:outerShdw blurRad="50800" dist="38100" dir="2700000" algn="tl" rotWithShape="0">
              <a:srgbClr val="E45D0A">
                <a:alpha val="40000"/>
              </a:srgbClr>
            </a:outerShdw>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c:f>
              <c:strCache>
                <c:ptCount val="1"/>
                <c:pt idx="0">
                  <c:v>Sum of Net Sales</c:v>
                </c:pt>
              </c:strCache>
            </c:strRef>
          </c:tx>
          <c:spPr>
            <a:solidFill>
              <a:srgbClr val="00B0F0"/>
            </a:solidFill>
            <a:ln>
              <a:noFill/>
            </a:ln>
            <a:effectLst>
              <a:outerShdw blurRad="50800" dist="38100" dir="2700000" algn="tl" rotWithShape="0">
                <a:schemeClr val="bg2">
                  <a:lumMod val="90000"/>
                  <a:alpha val="40000"/>
                </a:schemeClr>
              </a:outerShdw>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Table'!$A$20:$A$23</c:f>
              <c:strCache>
                <c:ptCount val="3"/>
                <c:pt idx="0">
                  <c:v>Clothing</c:v>
                </c:pt>
                <c:pt idx="1">
                  <c:v>Electronics</c:v>
                </c:pt>
                <c:pt idx="2">
                  <c:v>Furniture</c:v>
                </c:pt>
              </c:strCache>
            </c:strRef>
          </c:cat>
          <c:val>
            <c:numRef>
              <c:f>'Pivot Table'!$B$20:$B$23</c:f>
              <c:numCache>
                <c:formatCode>#,##0</c:formatCode>
                <c:ptCount val="3"/>
                <c:pt idx="0">
                  <c:v>442.4</c:v>
                </c:pt>
                <c:pt idx="1">
                  <c:v>2966</c:v>
                </c:pt>
                <c:pt idx="2">
                  <c:v>733.5</c:v>
                </c:pt>
              </c:numCache>
            </c:numRef>
          </c:val>
          <c:extLst>
            <c:ext xmlns:c16="http://schemas.microsoft.com/office/drawing/2014/chart" uri="{C3380CC4-5D6E-409C-BE32-E72D297353CC}">
              <c16:uniqueId val="{00000000-7F2C-4CFD-9EF1-9BFE735BE32B}"/>
            </c:ext>
          </c:extLst>
        </c:ser>
        <c:ser>
          <c:idx val="1"/>
          <c:order val="1"/>
          <c:tx>
            <c:strRef>
              <c:f>'Pivot Table'!$C$19</c:f>
              <c:strCache>
                <c:ptCount val="1"/>
                <c:pt idx="0">
                  <c:v>Sum of Profit</c:v>
                </c:pt>
              </c:strCache>
            </c:strRef>
          </c:tx>
          <c:spPr>
            <a:solidFill>
              <a:schemeClr val="accent2"/>
            </a:solidFill>
            <a:ln>
              <a:noFill/>
            </a:ln>
            <a:effectLst>
              <a:glow rad="63500">
                <a:schemeClr val="accent1">
                  <a:satMod val="175000"/>
                  <a:alpha val="40000"/>
                </a:schemeClr>
              </a:glow>
              <a:outerShdw blurRad="50800" dist="38100" dir="2700000" algn="tl" rotWithShape="0">
                <a:srgbClr val="E45D0A">
                  <a:alpha val="40000"/>
                </a:srgbClr>
              </a:outerShdw>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Table'!$A$20:$A$23</c:f>
              <c:strCache>
                <c:ptCount val="3"/>
                <c:pt idx="0">
                  <c:v>Clothing</c:v>
                </c:pt>
                <c:pt idx="1">
                  <c:v>Electronics</c:v>
                </c:pt>
                <c:pt idx="2">
                  <c:v>Furniture</c:v>
                </c:pt>
              </c:strCache>
            </c:strRef>
          </c:cat>
          <c:val>
            <c:numRef>
              <c:f>'Pivot Table'!$C$20:$C$23</c:f>
              <c:numCache>
                <c:formatCode>#,##0</c:formatCode>
                <c:ptCount val="3"/>
                <c:pt idx="0">
                  <c:v>115</c:v>
                </c:pt>
                <c:pt idx="1">
                  <c:v>740</c:v>
                </c:pt>
                <c:pt idx="2">
                  <c:v>200</c:v>
                </c:pt>
              </c:numCache>
            </c:numRef>
          </c:val>
          <c:extLst>
            <c:ext xmlns:c16="http://schemas.microsoft.com/office/drawing/2014/chart" uri="{C3380CC4-5D6E-409C-BE32-E72D297353CC}">
              <c16:uniqueId val="{00000001-7F2C-4CFD-9EF1-9BFE735BE32B}"/>
            </c:ext>
          </c:extLst>
        </c:ser>
        <c:dLbls>
          <c:dLblPos val="outEnd"/>
          <c:showLegendKey val="0"/>
          <c:showVal val="1"/>
          <c:showCatName val="0"/>
          <c:showSerName val="0"/>
          <c:showPercent val="0"/>
          <c:showBubbleSize val="0"/>
        </c:dLbls>
        <c:gapWidth val="337"/>
        <c:overlap val="-90"/>
        <c:axId val="1416444192"/>
        <c:axId val="1416440832"/>
      </c:barChart>
      <c:catAx>
        <c:axId val="141644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1416440832"/>
        <c:crosses val="autoZero"/>
        <c:auto val="1"/>
        <c:lblAlgn val="ctr"/>
        <c:lblOffset val="100"/>
        <c:noMultiLvlLbl val="0"/>
      </c:catAx>
      <c:valAx>
        <c:axId val="1416440832"/>
        <c:scaling>
          <c:orientation val="minMax"/>
        </c:scaling>
        <c:delete val="1"/>
        <c:axPos val="l"/>
        <c:numFmt formatCode="#,##0" sourceLinked="1"/>
        <c:majorTickMark val="none"/>
        <c:minorTickMark val="none"/>
        <c:tickLblPos val="nextTo"/>
        <c:crossAx val="1416444192"/>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F0"/>
          </a:solidFill>
          <a:ln w="19050">
            <a:noFill/>
          </a:ln>
          <a:effectLst>
            <a:glow rad="63500">
              <a:srgbClr val="00B0F0">
                <a:alpha val="40000"/>
              </a:srgbClr>
            </a:glow>
          </a:effectLst>
        </c:spPr>
      </c:pivotFmt>
      <c:pivotFmt>
        <c:idx val="7"/>
        <c:spPr>
          <a:solidFill>
            <a:srgbClr val="FFFF00"/>
          </a:solidFill>
          <a:ln w="19050">
            <a:noFill/>
          </a:ln>
          <a:effectLst>
            <a:glow rad="63500">
              <a:srgbClr val="FFFF00">
                <a:alpha val="40000"/>
              </a:srgbClr>
            </a:glow>
          </a:effectLst>
        </c:spPr>
      </c:pivotFmt>
      <c:pivotFmt>
        <c:idx val="8"/>
        <c:spPr>
          <a:solidFill>
            <a:srgbClr val="7030A0"/>
          </a:solidFill>
          <a:ln w="19050">
            <a:noFill/>
          </a:ln>
          <a:effectLst>
            <a:glow rad="63500">
              <a:srgbClr val="7030A0">
                <a:alpha val="40000"/>
              </a:srgbClr>
            </a:glow>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7030A0"/>
          </a:solidFill>
          <a:ln w="19050">
            <a:noFill/>
          </a:ln>
          <a:effectLst>
            <a:glow rad="63500">
              <a:srgbClr val="7030A0">
                <a:alpha val="40000"/>
              </a:srgbClr>
            </a:glow>
          </a:effectLst>
        </c:spPr>
      </c:pivotFmt>
      <c:pivotFmt>
        <c:idx val="11"/>
        <c:spPr>
          <a:solidFill>
            <a:schemeClr val="accent1"/>
          </a:solidFill>
          <a:ln w="19050">
            <a:noFill/>
          </a:ln>
          <a:effectLst>
            <a:glow rad="63500">
              <a:schemeClr val="accent2">
                <a:satMod val="175000"/>
                <a:alpha val="40000"/>
              </a:schemeClr>
            </a:glow>
          </a:effectLst>
        </c:spPr>
      </c:pivotFmt>
      <c:pivotFmt>
        <c:idx val="12"/>
        <c:spPr>
          <a:solidFill>
            <a:schemeClr val="accent1"/>
          </a:solidFill>
          <a:ln w="19050">
            <a:noFill/>
          </a:ln>
          <a:effectLst>
            <a:glow rad="63500">
              <a:schemeClr val="accent1">
                <a:satMod val="175000"/>
                <a:alpha val="40000"/>
              </a:schemeClr>
            </a:glow>
          </a:effectLst>
        </c:spPr>
      </c:pivotFmt>
    </c:pivotFmts>
    <c:plotArea>
      <c:layout/>
      <c:doughnutChart>
        <c:varyColors val="1"/>
        <c:ser>
          <c:idx val="0"/>
          <c:order val="0"/>
          <c:tx>
            <c:strRef>
              <c:f>'Pivot Table'!$B$49</c:f>
              <c:strCache>
                <c:ptCount val="1"/>
                <c:pt idx="0">
                  <c:v>Total</c:v>
                </c:pt>
              </c:strCache>
            </c:strRef>
          </c:tx>
          <c:dPt>
            <c:idx val="0"/>
            <c:bubble3D val="0"/>
            <c:spPr>
              <a:solidFill>
                <a:schemeClr val="accent1"/>
              </a:solidFill>
              <a:ln w="19050">
                <a:noFill/>
              </a:ln>
              <a:effectLst>
                <a:glow rad="63500">
                  <a:schemeClr val="accent1">
                    <a:satMod val="175000"/>
                    <a:alpha val="40000"/>
                  </a:schemeClr>
                </a:glow>
              </a:effectLst>
            </c:spPr>
            <c:extLst>
              <c:ext xmlns:c16="http://schemas.microsoft.com/office/drawing/2014/chart" uri="{C3380CC4-5D6E-409C-BE32-E72D297353CC}">
                <c16:uniqueId val="{00000001-A4E5-408B-B392-2A2FD021049A}"/>
              </c:ext>
            </c:extLst>
          </c:dPt>
          <c:dPt>
            <c:idx val="1"/>
            <c:bubble3D val="0"/>
            <c:spPr>
              <a:solidFill>
                <a:schemeClr val="accent2"/>
              </a:solidFill>
              <a:ln w="19050">
                <a:noFill/>
              </a:ln>
              <a:effectLst>
                <a:glow rad="63500">
                  <a:schemeClr val="accent2">
                    <a:satMod val="175000"/>
                    <a:alpha val="40000"/>
                  </a:schemeClr>
                </a:glow>
              </a:effectLst>
            </c:spPr>
            <c:extLst>
              <c:ext xmlns:c16="http://schemas.microsoft.com/office/drawing/2014/chart" uri="{C3380CC4-5D6E-409C-BE32-E72D297353CC}">
                <c16:uniqueId val="{00000003-A4E5-408B-B392-2A2FD021049A}"/>
              </c:ext>
            </c:extLst>
          </c:dPt>
          <c:dPt>
            <c:idx val="2"/>
            <c:bubble3D val="0"/>
            <c:spPr>
              <a:solidFill>
                <a:srgbClr val="7030A0"/>
              </a:solidFill>
              <a:ln w="19050">
                <a:noFill/>
              </a:ln>
              <a:effectLst>
                <a:glow rad="63500">
                  <a:srgbClr val="7030A0">
                    <a:alpha val="40000"/>
                  </a:srgbClr>
                </a:glow>
              </a:effectLst>
            </c:spPr>
            <c:extLst>
              <c:ext xmlns:c16="http://schemas.microsoft.com/office/drawing/2014/chart" uri="{C3380CC4-5D6E-409C-BE32-E72D297353CC}">
                <c16:uniqueId val="{00000005-A4E5-408B-B392-2A2FD021049A}"/>
              </c:ext>
            </c:extLst>
          </c:dPt>
          <c:cat>
            <c:strRef>
              <c:f>'Pivot Table'!$A$50:$A$53</c:f>
              <c:strCache>
                <c:ptCount val="3"/>
                <c:pt idx="0">
                  <c:v>Clothing</c:v>
                </c:pt>
                <c:pt idx="1">
                  <c:v>Electronics</c:v>
                </c:pt>
                <c:pt idx="2">
                  <c:v>Furniture</c:v>
                </c:pt>
              </c:strCache>
            </c:strRef>
          </c:cat>
          <c:val>
            <c:numRef>
              <c:f>'Pivot Table'!$B$50:$B$53</c:f>
              <c:numCache>
                <c:formatCode>#,##0</c:formatCode>
                <c:ptCount val="3"/>
                <c:pt idx="0">
                  <c:v>115</c:v>
                </c:pt>
                <c:pt idx="1">
                  <c:v>740</c:v>
                </c:pt>
                <c:pt idx="2">
                  <c:v>200</c:v>
                </c:pt>
              </c:numCache>
            </c:numRef>
          </c:val>
          <c:extLst>
            <c:ext xmlns:c16="http://schemas.microsoft.com/office/drawing/2014/chart" uri="{C3380CC4-5D6E-409C-BE32-E72D297353CC}">
              <c16:uniqueId val="{00000006-A4E5-408B-B392-2A2FD021049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492690</xdr:colOff>
      <xdr:row>0</xdr:row>
      <xdr:rowOff>0</xdr:rowOff>
    </xdr:from>
    <xdr:to>
      <xdr:col>28</xdr:col>
      <xdr:colOff>384181</xdr:colOff>
      <xdr:row>84</xdr:row>
      <xdr:rowOff>96366</xdr:rowOff>
    </xdr:to>
    <xdr:sp macro="" textlink="">
      <xdr:nvSpPr>
        <xdr:cNvPr id="35" name="Rectangle 34">
          <a:extLst>
            <a:ext uri="{FF2B5EF4-FFF2-40B4-BE49-F238E27FC236}">
              <a16:creationId xmlns:a16="http://schemas.microsoft.com/office/drawing/2014/main" id="{3C1C9C36-BCD3-6530-97EA-B12B92D9A90C}"/>
            </a:ext>
          </a:extLst>
        </xdr:cNvPr>
        <xdr:cNvSpPr/>
      </xdr:nvSpPr>
      <xdr:spPr>
        <a:xfrm>
          <a:off x="492690" y="0"/>
          <a:ext cx="17693821" cy="15570828"/>
        </a:xfrm>
        <a:prstGeom prst="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xdr:col>
      <xdr:colOff>38100</xdr:colOff>
      <xdr:row>84</xdr:row>
      <xdr:rowOff>117230</xdr:rowOff>
    </xdr:to>
    <xdr:sp macro="" textlink="">
      <xdr:nvSpPr>
        <xdr:cNvPr id="9" name="Rectangle 8">
          <a:extLst>
            <a:ext uri="{FF2B5EF4-FFF2-40B4-BE49-F238E27FC236}">
              <a16:creationId xmlns:a16="http://schemas.microsoft.com/office/drawing/2014/main" id="{40F6FC7F-8842-BACA-6CD0-E35D1518FB7F}"/>
            </a:ext>
          </a:extLst>
        </xdr:cNvPr>
        <xdr:cNvSpPr/>
      </xdr:nvSpPr>
      <xdr:spPr>
        <a:xfrm>
          <a:off x="0" y="0"/>
          <a:ext cx="1947287" cy="15591692"/>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148814</xdr:colOff>
      <xdr:row>0</xdr:row>
      <xdr:rowOff>146124</xdr:rowOff>
    </xdr:from>
    <xdr:to>
      <xdr:col>14</xdr:col>
      <xdr:colOff>1793</xdr:colOff>
      <xdr:row>5</xdr:row>
      <xdr:rowOff>176604</xdr:rowOff>
    </xdr:to>
    <xdr:grpSp>
      <xdr:nvGrpSpPr>
        <xdr:cNvPr id="37" name="Group 36">
          <a:extLst>
            <a:ext uri="{FF2B5EF4-FFF2-40B4-BE49-F238E27FC236}">
              <a16:creationId xmlns:a16="http://schemas.microsoft.com/office/drawing/2014/main" id="{CCA69B45-77D4-8FEF-E75B-5D0374B12C95}"/>
            </a:ext>
          </a:extLst>
        </xdr:cNvPr>
        <xdr:cNvGrpSpPr/>
      </xdr:nvGrpSpPr>
      <xdr:grpSpPr>
        <a:xfrm>
          <a:off x="2050319" y="146124"/>
          <a:ext cx="7151401" cy="939287"/>
          <a:chOff x="2058001" y="146124"/>
          <a:chExt cx="7188276" cy="951579"/>
        </a:xfrm>
      </xdr:grpSpPr>
      <xdr:sp macro="" textlink="">
        <xdr:nvSpPr>
          <xdr:cNvPr id="2" name="Rectangle: Rounded Corners 1">
            <a:extLst>
              <a:ext uri="{FF2B5EF4-FFF2-40B4-BE49-F238E27FC236}">
                <a16:creationId xmlns:a16="http://schemas.microsoft.com/office/drawing/2014/main" id="{4EFECC3B-9963-C93D-4CC0-EA0832A7731A}"/>
              </a:ext>
            </a:extLst>
          </xdr:cNvPr>
          <xdr:cNvSpPr/>
        </xdr:nvSpPr>
        <xdr:spPr>
          <a:xfrm>
            <a:off x="2058001" y="146124"/>
            <a:ext cx="7188276" cy="951579"/>
          </a:xfrm>
          <a:prstGeom prst="roundRect">
            <a:avLst/>
          </a:prstGeom>
          <a:solidFill>
            <a:schemeClr val="tx1">
              <a:lumMod val="95000"/>
              <a:lumOff val="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TextBox 9">
            <a:extLst>
              <a:ext uri="{FF2B5EF4-FFF2-40B4-BE49-F238E27FC236}">
                <a16:creationId xmlns:a16="http://schemas.microsoft.com/office/drawing/2014/main" id="{9A4422E0-DDF5-6F61-08C4-6281C4A98B1D}"/>
              </a:ext>
            </a:extLst>
          </xdr:cNvPr>
          <xdr:cNvSpPr txBox="1"/>
        </xdr:nvSpPr>
        <xdr:spPr>
          <a:xfrm>
            <a:off x="3786954" y="201003"/>
            <a:ext cx="3128509" cy="525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i="1">
                <a:solidFill>
                  <a:schemeClr val="bg1"/>
                </a:solidFill>
                <a:latin typeface="Impact" panose="020B0806030902050204" pitchFamily="34" charset="0"/>
              </a:rPr>
              <a:t>Sales Dashboard</a:t>
            </a:r>
          </a:p>
        </xdr:txBody>
      </xdr:sp>
      <xdr:sp macro="" textlink="">
        <xdr:nvSpPr>
          <xdr:cNvPr id="11" name="TextBox 10">
            <a:extLst>
              <a:ext uri="{FF2B5EF4-FFF2-40B4-BE49-F238E27FC236}">
                <a16:creationId xmlns:a16="http://schemas.microsoft.com/office/drawing/2014/main" id="{12607F02-7705-7FAB-4773-62FB19CC1038}"/>
              </a:ext>
            </a:extLst>
          </xdr:cNvPr>
          <xdr:cNvSpPr txBox="1"/>
        </xdr:nvSpPr>
        <xdr:spPr>
          <a:xfrm>
            <a:off x="4166402" y="687712"/>
            <a:ext cx="2350904" cy="27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i="1">
                <a:solidFill>
                  <a:schemeClr val="accent1">
                    <a:lumMod val="20000"/>
                    <a:lumOff val="80000"/>
                  </a:schemeClr>
                </a:solidFill>
                <a:latin typeface="Impact" panose="020B0806030902050204" pitchFamily="34" charset="0"/>
              </a:rPr>
              <a:t>Figures in thousands of INR</a:t>
            </a:r>
          </a:p>
        </xdr:txBody>
      </xdr:sp>
    </xdr:grpSp>
    <xdr:clientData/>
  </xdr:twoCellAnchor>
  <xdr:twoCellAnchor>
    <xdr:from>
      <xdr:col>0</xdr:col>
      <xdr:colOff>843915</xdr:colOff>
      <xdr:row>0</xdr:row>
      <xdr:rowOff>107640</xdr:rowOff>
    </xdr:from>
    <xdr:to>
      <xdr:col>1</xdr:col>
      <xdr:colOff>939165</xdr:colOff>
      <xdr:row>6</xdr:row>
      <xdr:rowOff>105720</xdr:rowOff>
    </xdr:to>
    <xdr:sp macro="" textlink="">
      <xdr:nvSpPr>
        <xdr:cNvPr id="20" name="TextBox 19">
          <a:extLst>
            <a:ext uri="{FF2B5EF4-FFF2-40B4-BE49-F238E27FC236}">
              <a16:creationId xmlns:a16="http://schemas.microsoft.com/office/drawing/2014/main" id="{D9990B26-E34A-EB83-9975-D5243E81BFEE}"/>
            </a:ext>
          </a:extLst>
        </xdr:cNvPr>
        <xdr:cNvSpPr txBox="1"/>
      </xdr:nvSpPr>
      <xdr:spPr>
        <a:xfrm>
          <a:off x="843915" y="107640"/>
          <a:ext cx="1047750" cy="1095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solidFill>
              <a:latin typeface="Berlin Sans FB Demi" panose="020E0802020502020306" pitchFamily="34" charset="0"/>
            </a:rPr>
            <a:t>ABC</a:t>
          </a:r>
        </a:p>
        <a:p>
          <a:r>
            <a:rPr lang="en-IN" sz="3200">
              <a:solidFill>
                <a:schemeClr val="bg1"/>
              </a:solidFill>
              <a:latin typeface="Berlin Sans FB Demi" panose="020E0802020502020306" pitchFamily="34" charset="0"/>
            </a:rPr>
            <a:t>Co.</a:t>
          </a:r>
        </a:p>
      </xdr:txBody>
    </xdr:sp>
    <xdr:clientData/>
  </xdr:twoCellAnchor>
  <xdr:twoCellAnchor>
    <xdr:from>
      <xdr:col>7</xdr:col>
      <xdr:colOff>512587</xdr:colOff>
      <xdr:row>7</xdr:row>
      <xdr:rowOff>14863</xdr:rowOff>
    </xdr:from>
    <xdr:to>
      <xdr:col>13</xdr:col>
      <xdr:colOff>141253</xdr:colOff>
      <xdr:row>12</xdr:row>
      <xdr:rowOff>167263</xdr:rowOff>
    </xdr:to>
    <xdr:grpSp>
      <xdr:nvGrpSpPr>
        <xdr:cNvPr id="42" name="Group 41">
          <a:extLst>
            <a:ext uri="{FF2B5EF4-FFF2-40B4-BE49-F238E27FC236}">
              <a16:creationId xmlns:a16="http://schemas.microsoft.com/office/drawing/2014/main" id="{3E7E64E1-142B-48DE-92DB-B48CD3489161}"/>
            </a:ext>
          </a:extLst>
        </xdr:cNvPr>
        <xdr:cNvGrpSpPr/>
      </xdr:nvGrpSpPr>
      <xdr:grpSpPr>
        <a:xfrm>
          <a:off x="5455101" y="1287193"/>
          <a:ext cx="3277877" cy="1061208"/>
          <a:chOff x="6296060" y="1308588"/>
          <a:chExt cx="3296315" cy="1073499"/>
        </a:xfrm>
      </xdr:grpSpPr>
      <xdr:grpSp>
        <xdr:nvGrpSpPr>
          <xdr:cNvPr id="38" name="Group 37">
            <a:extLst>
              <a:ext uri="{FF2B5EF4-FFF2-40B4-BE49-F238E27FC236}">
                <a16:creationId xmlns:a16="http://schemas.microsoft.com/office/drawing/2014/main" id="{7F92FEA5-F017-C44C-2783-B7EF75297B23}"/>
              </a:ext>
            </a:extLst>
          </xdr:cNvPr>
          <xdr:cNvGrpSpPr/>
        </xdr:nvGrpSpPr>
        <xdr:grpSpPr>
          <a:xfrm>
            <a:off x="6296060" y="1308588"/>
            <a:ext cx="3296315" cy="1073499"/>
            <a:chOff x="6296060" y="1308588"/>
            <a:chExt cx="3296315" cy="1073499"/>
          </a:xfrm>
        </xdr:grpSpPr>
        <xdr:sp macro="" textlink="">
          <xdr:nvSpPr>
            <xdr:cNvPr id="3" name="Rectangle: Rounded Corners 2">
              <a:extLst>
                <a:ext uri="{FF2B5EF4-FFF2-40B4-BE49-F238E27FC236}">
                  <a16:creationId xmlns:a16="http://schemas.microsoft.com/office/drawing/2014/main" id="{CABC484B-F8BE-BC00-01AF-D77FADA944D3}"/>
                </a:ext>
              </a:extLst>
            </xdr:cNvPr>
            <xdr:cNvSpPr/>
          </xdr:nvSpPr>
          <xdr:spPr>
            <a:xfrm>
              <a:off x="6296060" y="1308588"/>
              <a:ext cx="3284974" cy="1073499"/>
            </a:xfrm>
            <a:prstGeom prst="roundRect">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0029017E-2D88-3EFF-C894-F930062A6715}"/>
                </a:ext>
              </a:extLst>
            </xdr:cNvPr>
            <xdr:cNvSpPr txBox="1"/>
          </xdr:nvSpPr>
          <xdr:spPr>
            <a:xfrm>
              <a:off x="8757730" y="1308588"/>
              <a:ext cx="823304" cy="325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i="0">
                  <a:solidFill>
                    <a:schemeClr val="bg1"/>
                  </a:solidFill>
                  <a:latin typeface="Impact" panose="020B0806030902050204" pitchFamily="34" charset="0"/>
                </a:rPr>
                <a:t>Profit</a:t>
              </a:r>
            </a:p>
          </xdr:txBody>
        </xdr:sp>
        <xdr:sp macro="" textlink="Profit">
          <xdr:nvSpPr>
            <xdr:cNvPr id="18" name="TextBox 17">
              <a:extLst>
                <a:ext uri="{FF2B5EF4-FFF2-40B4-BE49-F238E27FC236}">
                  <a16:creationId xmlns:a16="http://schemas.microsoft.com/office/drawing/2014/main" id="{48017D5A-2C55-23A6-DAEF-850C14F90340}"/>
                </a:ext>
              </a:extLst>
            </xdr:cNvPr>
            <xdr:cNvSpPr txBox="1"/>
          </xdr:nvSpPr>
          <xdr:spPr>
            <a:xfrm>
              <a:off x="8390902" y="1774720"/>
              <a:ext cx="1201473" cy="479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none" strike="noStrike">
                  <a:solidFill>
                    <a:srgbClr val="92D050"/>
                  </a:solidFill>
                  <a:latin typeface="Calibri" panose="020F0502020204030204" pitchFamily="34" charset="0"/>
                  <a:ea typeface="Calibri" panose="020F0502020204030204" pitchFamily="34" charset="0"/>
                  <a:cs typeface="Calibri" panose="020F0502020204030204" pitchFamily="34" charset="0"/>
                </a:rPr>
                <a:t>₹</a:t>
              </a:r>
              <a:r>
                <a:rPr lang="en-US" sz="2800" b="0" i="0" u="none" strike="noStrike">
                  <a:solidFill>
                    <a:srgbClr val="92D050"/>
                  </a:solidFill>
                  <a:latin typeface="Impact" panose="020B0806030902050204" pitchFamily="34" charset="0"/>
                  <a:ea typeface="Calibri"/>
                  <a:cs typeface="Calibri"/>
                </a:rPr>
                <a:t> </a:t>
              </a:r>
              <a:fld id="{8DD5E48E-9F29-433E-B2AB-72F3FD9F32F3}" type="TxLink">
                <a:rPr lang="en-US" sz="2800" b="0" i="0" u="none" strike="noStrike">
                  <a:solidFill>
                    <a:srgbClr val="92D050"/>
                  </a:solidFill>
                  <a:latin typeface="Impact" panose="020B0806030902050204" pitchFamily="34" charset="0"/>
                  <a:ea typeface="Calibri"/>
                  <a:cs typeface="Calibri"/>
                </a:rPr>
                <a:pPr/>
                <a:t>1,668</a:t>
              </a:fld>
              <a:endParaRPr lang="en-IN" sz="2800" i="0">
                <a:solidFill>
                  <a:srgbClr val="92D050"/>
                </a:solidFill>
                <a:latin typeface="Impact" panose="020B0806030902050204" pitchFamily="34" charset="0"/>
              </a:endParaRPr>
            </a:p>
          </xdr:txBody>
        </xdr:sp>
      </xdr:grpSp>
      <xdr:pic>
        <xdr:nvPicPr>
          <xdr:cNvPr id="25" name="Graphic 24" descr="Money with solid fill">
            <a:extLst>
              <a:ext uri="{FF2B5EF4-FFF2-40B4-BE49-F238E27FC236}">
                <a16:creationId xmlns:a16="http://schemas.microsoft.com/office/drawing/2014/main" id="{78B4373A-6F18-7C97-B569-8E6FECDB11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83191" y="1383170"/>
            <a:ext cx="1145665" cy="921099"/>
          </a:xfrm>
          <a:prstGeom prst="rect">
            <a:avLst/>
          </a:prstGeom>
        </xdr:spPr>
      </xdr:pic>
    </xdr:grpSp>
    <xdr:clientData/>
  </xdr:twoCellAnchor>
  <xdr:twoCellAnchor>
    <xdr:from>
      <xdr:col>2</xdr:col>
      <xdr:colOff>139700</xdr:colOff>
      <xdr:row>7</xdr:row>
      <xdr:rowOff>14863</xdr:rowOff>
    </xdr:from>
    <xdr:to>
      <xdr:col>7</xdr:col>
      <xdr:colOff>368300</xdr:colOff>
      <xdr:row>12</xdr:row>
      <xdr:rowOff>167263</xdr:rowOff>
    </xdr:to>
    <xdr:grpSp>
      <xdr:nvGrpSpPr>
        <xdr:cNvPr id="43" name="Group 42">
          <a:extLst>
            <a:ext uri="{FF2B5EF4-FFF2-40B4-BE49-F238E27FC236}">
              <a16:creationId xmlns:a16="http://schemas.microsoft.com/office/drawing/2014/main" id="{D5FD688C-0CCE-C339-A38B-9854A4B18EC5}"/>
            </a:ext>
          </a:extLst>
        </xdr:cNvPr>
        <xdr:cNvGrpSpPr/>
      </xdr:nvGrpSpPr>
      <xdr:grpSpPr>
        <a:xfrm>
          <a:off x="2041205" y="1287193"/>
          <a:ext cx="3269609" cy="1061208"/>
          <a:chOff x="2048887" y="1308588"/>
          <a:chExt cx="3284973" cy="1073499"/>
        </a:xfrm>
      </xdr:grpSpPr>
      <xdr:sp macro="" textlink="">
        <xdr:nvSpPr>
          <xdr:cNvPr id="4" name="Rectangle: Rounded Corners 3">
            <a:extLst>
              <a:ext uri="{FF2B5EF4-FFF2-40B4-BE49-F238E27FC236}">
                <a16:creationId xmlns:a16="http://schemas.microsoft.com/office/drawing/2014/main" id="{30321EBA-5C8C-9266-63D6-382A967A7F9B}"/>
              </a:ext>
            </a:extLst>
          </xdr:cNvPr>
          <xdr:cNvSpPr/>
        </xdr:nvSpPr>
        <xdr:spPr>
          <a:xfrm>
            <a:off x="2048887" y="1308588"/>
            <a:ext cx="3284973" cy="1073499"/>
          </a:xfrm>
          <a:prstGeom prst="roundRect">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9" name="Group 38">
            <a:extLst>
              <a:ext uri="{FF2B5EF4-FFF2-40B4-BE49-F238E27FC236}">
                <a16:creationId xmlns:a16="http://schemas.microsoft.com/office/drawing/2014/main" id="{5A4DBAA2-6F5F-123B-CCF7-FDB2884F498A}"/>
              </a:ext>
            </a:extLst>
          </xdr:cNvPr>
          <xdr:cNvGrpSpPr/>
        </xdr:nvGrpSpPr>
        <xdr:grpSpPr>
          <a:xfrm>
            <a:off x="4055832" y="1308588"/>
            <a:ext cx="1278028" cy="945328"/>
            <a:chOff x="4055832" y="1308588"/>
            <a:chExt cx="1278028" cy="945328"/>
          </a:xfrm>
        </xdr:grpSpPr>
        <xdr:sp macro="" textlink="">
          <xdr:nvSpPr>
            <xdr:cNvPr id="12" name="TextBox 11">
              <a:extLst>
                <a:ext uri="{FF2B5EF4-FFF2-40B4-BE49-F238E27FC236}">
                  <a16:creationId xmlns:a16="http://schemas.microsoft.com/office/drawing/2014/main" id="{60679CB3-A307-C15F-9BBB-81EEDB1EDA4D}"/>
                </a:ext>
              </a:extLst>
            </xdr:cNvPr>
            <xdr:cNvSpPr txBox="1"/>
          </xdr:nvSpPr>
          <xdr:spPr>
            <a:xfrm>
              <a:off x="4127564" y="1308588"/>
              <a:ext cx="1206296" cy="325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i="0">
                  <a:solidFill>
                    <a:schemeClr val="bg1"/>
                  </a:solidFill>
                  <a:latin typeface="Impact" panose="020B0806030902050204" pitchFamily="34" charset="0"/>
                </a:rPr>
                <a:t>Net Sales</a:t>
              </a:r>
            </a:p>
          </xdr:txBody>
        </xdr:sp>
        <xdr:sp macro="" textlink="Netsales">
          <xdr:nvSpPr>
            <xdr:cNvPr id="17" name="TextBox 16">
              <a:extLst>
                <a:ext uri="{FF2B5EF4-FFF2-40B4-BE49-F238E27FC236}">
                  <a16:creationId xmlns:a16="http://schemas.microsoft.com/office/drawing/2014/main" id="{CF077E71-638B-FE45-DDC5-F4EF11592F9D}"/>
                </a:ext>
              </a:extLst>
            </xdr:cNvPr>
            <xdr:cNvSpPr txBox="1"/>
          </xdr:nvSpPr>
          <xdr:spPr>
            <a:xfrm>
              <a:off x="4055832" y="1774720"/>
              <a:ext cx="1234760" cy="479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none" strike="noStrike">
                  <a:solidFill>
                    <a:srgbClr val="FFFF00"/>
                  </a:solidFill>
                  <a:latin typeface="Calibri" panose="020F0502020204030204" pitchFamily="34" charset="0"/>
                  <a:ea typeface="Calibri" panose="020F0502020204030204" pitchFamily="34" charset="0"/>
                  <a:cs typeface="Calibri" panose="020F0502020204030204" pitchFamily="34" charset="0"/>
                </a:rPr>
                <a:t>₹ </a:t>
              </a:r>
              <a:fld id="{A447B4F3-1156-4837-B30D-663E5F9A9F16}" type="TxLink">
                <a:rPr lang="en-US" sz="2800" b="0" i="0" u="none" strike="noStrike">
                  <a:solidFill>
                    <a:srgbClr val="FFFF00"/>
                  </a:solidFill>
                  <a:latin typeface="Impact" panose="020B0806030902050204" pitchFamily="34" charset="0"/>
                  <a:ea typeface="Calibri"/>
                  <a:cs typeface="Calibri"/>
                </a:rPr>
                <a:pPr/>
                <a:t>6,427</a:t>
              </a:fld>
              <a:endParaRPr lang="en-IN" sz="2800" i="0">
                <a:solidFill>
                  <a:srgbClr val="FFFF00"/>
                </a:solidFill>
                <a:latin typeface="Impact" panose="020B0806030902050204" pitchFamily="34" charset="0"/>
              </a:endParaRPr>
            </a:p>
          </xdr:txBody>
        </xdr:sp>
      </xdr:grpSp>
      <xdr:pic>
        <xdr:nvPicPr>
          <xdr:cNvPr id="27" name="Graphic 26" descr="Coins with solid fill">
            <a:extLst>
              <a:ext uri="{FF2B5EF4-FFF2-40B4-BE49-F238E27FC236}">
                <a16:creationId xmlns:a16="http://schemas.microsoft.com/office/drawing/2014/main" id="{FED81B3F-C02A-62B9-6273-8A88CF519C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32512" y="1374639"/>
            <a:ext cx="1142180" cy="921099"/>
          </a:xfrm>
          <a:prstGeom prst="rect">
            <a:avLst/>
          </a:prstGeom>
        </xdr:spPr>
      </xdr:pic>
    </xdr:grpSp>
    <xdr:clientData/>
  </xdr:twoCellAnchor>
  <xdr:twoCellAnchor>
    <xdr:from>
      <xdr:col>13</xdr:col>
      <xdr:colOff>285540</xdr:colOff>
      <xdr:row>7</xdr:row>
      <xdr:rowOff>14863</xdr:rowOff>
    </xdr:from>
    <xdr:to>
      <xdr:col>18</xdr:col>
      <xdr:colOff>539700</xdr:colOff>
      <xdr:row>12</xdr:row>
      <xdr:rowOff>167263</xdr:rowOff>
    </xdr:to>
    <xdr:grpSp>
      <xdr:nvGrpSpPr>
        <xdr:cNvPr id="41" name="Group 40">
          <a:extLst>
            <a:ext uri="{FF2B5EF4-FFF2-40B4-BE49-F238E27FC236}">
              <a16:creationId xmlns:a16="http://schemas.microsoft.com/office/drawing/2014/main" id="{3A5D7B0B-595D-2170-E122-7935F2C980E8}"/>
            </a:ext>
          </a:extLst>
        </xdr:cNvPr>
        <xdr:cNvGrpSpPr/>
      </xdr:nvGrpSpPr>
      <xdr:grpSpPr>
        <a:xfrm>
          <a:off x="8877265" y="1287193"/>
          <a:ext cx="3295169" cy="1061208"/>
          <a:chOff x="10543233" y="1308588"/>
          <a:chExt cx="3310533" cy="1073499"/>
        </a:xfrm>
      </xdr:grpSpPr>
      <xdr:sp macro="" textlink="">
        <xdr:nvSpPr>
          <xdr:cNvPr id="5" name="Rectangle: Rounded Corners 4">
            <a:extLst>
              <a:ext uri="{FF2B5EF4-FFF2-40B4-BE49-F238E27FC236}">
                <a16:creationId xmlns:a16="http://schemas.microsoft.com/office/drawing/2014/main" id="{93ED58BE-4449-1345-070F-ECF03B274019}"/>
              </a:ext>
            </a:extLst>
          </xdr:cNvPr>
          <xdr:cNvSpPr/>
        </xdr:nvSpPr>
        <xdr:spPr>
          <a:xfrm>
            <a:off x="10543233" y="1308588"/>
            <a:ext cx="3284974" cy="1073499"/>
          </a:xfrm>
          <a:prstGeom prst="roundRect">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E010FD24-C9BD-B76C-F88A-D8DA5FB5CB13}"/>
              </a:ext>
            </a:extLst>
          </xdr:cNvPr>
          <xdr:cNvSpPr txBox="1"/>
        </xdr:nvSpPr>
        <xdr:spPr>
          <a:xfrm>
            <a:off x="12830686" y="1308588"/>
            <a:ext cx="997521" cy="325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i="0">
                <a:solidFill>
                  <a:schemeClr val="bg1"/>
                </a:solidFill>
                <a:latin typeface="Impact" panose="020B0806030902050204" pitchFamily="34" charset="0"/>
              </a:rPr>
              <a:t>Margin</a:t>
            </a:r>
          </a:p>
        </xdr:txBody>
      </xdr:sp>
      <xdr:sp macro="" textlink="Margin">
        <xdr:nvSpPr>
          <xdr:cNvPr id="19" name="TextBox 18">
            <a:extLst>
              <a:ext uri="{FF2B5EF4-FFF2-40B4-BE49-F238E27FC236}">
                <a16:creationId xmlns:a16="http://schemas.microsoft.com/office/drawing/2014/main" id="{648579B4-9C02-BAE0-E083-EBD412BC6ED5}"/>
              </a:ext>
            </a:extLst>
          </xdr:cNvPr>
          <xdr:cNvSpPr txBox="1"/>
        </xdr:nvSpPr>
        <xdr:spPr>
          <a:xfrm>
            <a:off x="12647469" y="1767100"/>
            <a:ext cx="1206297" cy="479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EC81F9-2E6C-4CE1-AC92-05484A4E4918}" type="TxLink">
              <a:rPr lang="en-US" sz="2800" b="0" i="0" u="none" strike="noStrike">
                <a:solidFill>
                  <a:srgbClr val="00B0F0"/>
                </a:solidFill>
                <a:latin typeface="Impact" panose="020B0806030902050204" pitchFamily="34" charset="0"/>
                <a:ea typeface="Calibri"/>
                <a:cs typeface="Calibri"/>
              </a:rPr>
              <a:pPr/>
              <a:t>23.78%</a:t>
            </a:fld>
            <a:endParaRPr lang="en-IN" sz="2800" i="0">
              <a:solidFill>
                <a:srgbClr val="00B0F0"/>
              </a:solidFill>
              <a:latin typeface="Impact" panose="020B0806030902050204" pitchFamily="34" charset="0"/>
            </a:endParaRPr>
          </a:p>
        </xdr:txBody>
      </xdr:sp>
      <xdr:pic>
        <xdr:nvPicPr>
          <xdr:cNvPr id="29" name="Graphic 28" descr="Piggy Bank with solid fill">
            <a:extLst>
              <a:ext uri="{FF2B5EF4-FFF2-40B4-BE49-F238E27FC236}">
                <a16:creationId xmlns:a16="http://schemas.microsoft.com/office/drawing/2014/main" id="{98E94424-FEFA-CA0F-3856-30B2EC87CC0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961076" y="1339779"/>
            <a:ext cx="971341" cy="971341"/>
          </a:xfrm>
          <a:prstGeom prst="rect">
            <a:avLst/>
          </a:prstGeom>
        </xdr:spPr>
      </xdr:pic>
    </xdr:grpSp>
    <xdr:clientData/>
  </xdr:twoCellAnchor>
  <xdr:twoCellAnchor editAs="oneCell">
    <xdr:from>
      <xdr:col>0</xdr:col>
      <xdr:colOff>0</xdr:colOff>
      <xdr:row>0</xdr:row>
      <xdr:rowOff>33495</xdr:rowOff>
    </xdr:from>
    <xdr:to>
      <xdr:col>0</xdr:col>
      <xdr:colOff>914400</xdr:colOff>
      <xdr:row>6</xdr:row>
      <xdr:rowOff>35168</xdr:rowOff>
    </xdr:to>
    <xdr:pic>
      <xdr:nvPicPr>
        <xdr:cNvPr id="31" name="Graphic 30" descr="City with solid fill">
          <a:extLst>
            <a:ext uri="{FF2B5EF4-FFF2-40B4-BE49-F238E27FC236}">
              <a16:creationId xmlns:a16="http://schemas.microsoft.com/office/drawing/2014/main" id="{53DF81C0-9548-5E33-ACCA-0996F00DACA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0" y="33495"/>
          <a:ext cx="914400" cy="1106992"/>
        </a:xfrm>
        <a:prstGeom prst="rect">
          <a:avLst/>
        </a:prstGeom>
      </xdr:spPr>
    </xdr:pic>
    <xdr:clientData/>
  </xdr:twoCellAnchor>
  <xdr:twoCellAnchor editAs="oneCell">
    <xdr:from>
      <xdr:col>0</xdr:col>
      <xdr:colOff>58616</xdr:colOff>
      <xdr:row>24</xdr:row>
      <xdr:rowOff>105340</xdr:rowOff>
    </xdr:from>
    <xdr:to>
      <xdr:col>1</xdr:col>
      <xdr:colOff>932823</xdr:colOff>
      <xdr:row>30</xdr:row>
      <xdr:rowOff>173502</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B6419FC3-C74A-42A1-BB11-EA20F2F3E3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616" y="4494460"/>
              <a:ext cx="1826707" cy="1165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75531</xdr:colOff>
      <xdr:row>15</xdr:row>
      <xdr:rowOff>5315</xdr:rowOff>
    </xdr:from>
    <xdr:to>
      <xdr:col>2</xdr:col>
      <xdr:colOff>169</xdr:colOff>
      <xdr:row>21</xdr:row>
      <xdr:rowOff>68580</xdr:rowOff>
    </xdr:to>
    <mc:AlternateContent xmlns:mc="http://schemas.openxmlformats.org/markup-compatibility/2006" xmlns:a14="http://schemas.microsoft.com/office/drawing/2010/main">
      <mc:Choice Requires="a14">
        <xdr:graphicFrame macro="">
          <xdr:nvGraphicFramePr>
            <xdr:cNvPr id="33" name="Category">
              <a:extLst>
                <a:ext uri="{FF2B5EF4-FFF2-40B4-BE49-F238E27FC236}">
                  <a16:creationId xmlns:a16="http://schemas.microsoft.com/office/drawing/2014/main" id="{2E6F22F3-8F56-49ED-A6D8-B0228B089EB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5531" y="2748515"/>
              <a:ext cx="1826707" cy="1160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71761</xdr:colOff>
      <xdr:row>8</xdr:row>
      <xdr:rowOff>62633</xdr:rowOff>
    </xdr:from>
    <xdr:to>
      <xdr:col>1</xdr:col>
      <xdr:colOff>945968</xdr:colOff>
      <xdr:row>11</xdr:row>
      <xdr:rowOff>133978</xdr:rowOff>
    </xdr:to>
    <mc:AlternateContent xmlns:mc="http://schemas.openxmlformats.org/markup-compatibility/2006" xmlns:a14="http://schemas.microsoft.com/office/drawing/2010/main">
      <mc:Choice Requires="a14">
        <xdr:graphicFrame macro="">
          <xdr:nvGraphicFramePr>
            <xdr:cNvPr id="34" name="Month">
              <a:extLst>
                <a:ext uri="{FF2B5EF4-FFF2-40B4-BE49-F238E27FC236}">
                  <a16:creationId xmlns:a16="http://schemas.microsoft.com/office/drawing/2014/main" id="{7253ED86-71A7-44AD-BF59-7C13EEB6A97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1761" y="1525673"/>
              <a:ext cx="1826707" cy="619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179991</xdr:colOff>
      <xdr:row>14</xdr:row>
      <xdr:rowOff>157231</xdr:rowOff>
    </xdr:from>
    <xdr:to>
      <xdr:col>16</xdr:col>
      <xdr:colOff>164751</xdr:colOff>
      <xdr:row>31</xdr:row>
      <xdr:rowOff>47070</xdr:rowOff>
    </xdr:to>
    <xdr:grpSp>
      <xdr:nvGrpSpPr>
        <xdr:cNvPr id="45" name="Group 44">
          <a:extLst>
            <a:ext uri="{FF2B5EF4-FFF2-40B4-BE49-F238E27FC236}">
              <a16:creationId xmlns:a16="http://schemas.microsoft.com/office/drawing/2014/main" id="{2D7FAA9A-6D37-A0F8-ACA6-13D7DA5F19B0}"/>
            </a:ext>
          </a:extLst>
        </xdr:cNvPr>
        <xdr:cNvGrpSpPr/>
      </xdr:nvGrpSpPr>
      <xdr:grpSpPr>
        <a:xfrm>
          <a:off x="6338908" y="2701892"/>
          <a:ext cx="4242173" cy="2979784"/>
          <a:chOff x="6527200" y="2753055"/>
          <a:chExt cx="4263683" cy="3021575"/>
        </a:xfrm>
      </xdr:grpSpPr>
      <xdr:sp macro="" textlink="">
        <xdr:nvSpPr>
          <xdr:cNvPr id="7" name="Rectangle: Rounded Corners 6">
            <a:extLst>
              <a:ext uri="{FF2B5EF4-FFF2-40B4-BE49-F238E27FC236}">
                <a16:creationId xmlns:a16="http://schemas.microsoft.com/office/drawing/2014/main" id="{9BCF8F33-F8D6-4CA1-851F-DBDDF8C0F41C}"/>
              </a:ext>
            </a:extLst>
          </xdr:cNvPr>
          <xdr:cNvSpPr/>
        </xdr:nvSpPr>
        <xdr:spPr>
          <a:xfrm>
            <a:off x="6527200" y="2753055"/>
            <a:ext cx="4263683" cy="3021575"/>
          </a:xfrm>
          <a:prstGeom prst="rect">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1" name="Chart 20">
            <a:extLst>
              <a:ext uri="{FF2B5EF4-FFF2-40B4-BE49-F238E27FC236}">
                <a16:creationId xmlns:a16="http://schemas.microsoft.com/office/drawing/2014/main" id="{994107EF-B5A3-4925-A77D-51F21AB88899}"/>
              </a:ext>
            </a:extLst>
          </xdr:cNvPr>
          <xdr:cNvGraphicFramePr>
            <a:graphicFrameLocks/>
          </xdr:cNvGraphicFramePr>
        </xdr:nvGraphicFramePr>
        <xdr:xfrm>
          <a:off x="6592629" y="2848246"/>
          <a:ext cx="3968477" cy="2569388"/>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24" name="TextBox 23">
            <a:extLst>
              <a:ext uri="{FF2B5EF4-FFF2-40B4-BE49-F238E27FC236}">
                <a16:creationId xmlns:a16="http://schemas.microsoft.com/office/drawing/2014/main" id="{3899D4F4-2824-01BA-72DA-78C7E2860312}"/>
              </a:ext>
            </a:extLst>
          </xdr:cNvPr>
          <xdr:cNvSpPr txBox="1"/>
        </xdr:nvSpPr>
        <xdr:spPr>
          <a:xfrm>
            <a:off x="7601159" y="5430244"/>
            <a:ext cx="2414619" cy="275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i="1">
                <a:solidFill>
                  <a:schemeClr val="accent3">
                    <a:lumMod val="40000"/>
                    <a:lumOff val="60000"/>
                  </a:schemeClr>
                </a:solidFill>
                <a:latin typeface="Impact" panose="020B0806030902050204" pitchFamily="34" charset="0"/>
              </a:rPr>
              <a:t>Netsales</a:t>
            </a:r>
            <a:r>
              <a:rPr lang="en-IN" sz="1400" i="1" baseline="0">
                <a:solidFill>
                  <a:schemeClr val="accent3">
                    <a:lumMod val="40000"/>
                    <a:lumOff val="60000"/>
                  </a:schemeClr>
                </a:solidFill>
                <a:latin typeface="Impact" panose="020B0806030902050204" pitchFamily="34" charset="0"/>
              </a:rPr>
              <a:t> By Category &amp; Region</a:t>
            </a:r>
            <a:endParaRPr lang="en-IN" sz="1400" i="1">
              <a:solidFill>
                <a:schemeClr val="accent3">
                  <a:lumMod val="40000"/>
                  <a:lumOff val="60000"/>
                </a:schemeClr>
              </a:solidFill>
              <a:latin typeface="Impact" panose="020B0806030902050204" pitchFamily="34" charset="0"/>
            </a:endParaRPr>
          </a:p>
        </xdr:txBody>
      </xdr:sp>
    </xdr:grpSp>
    <xdr:clientData/>
  </xdr:twoCellAnchor>
  <xdr:twoCellAnchor>
    <xdr:from>
      <xdr:col>2</xdr:col>
      <xdr:colOff>144780</xdr:colOff>
      <xdr:row>14</xdr:row>
      <xdr:rowOff>173355</xdr:rowOff>
    </xdr:from>
    <xdr:to>
      <xdr:col>9</xdr:col>
      <xdr:colOff>129540</xdr:colOff>
      <xdr:row>31</xdr:row>
      <xdr:rowOff>59055</xdr:rowOff>
    </xdr:to>
    <xdr:grpSp>
      <xdr:nvGrpSpPr>
        <xdr:cNvPr id="44" name="Group 43">
          <a:extLst>
            <a:ext uri="{FF2B5EF4-FFF2-40B4-BE49-F238E27FC236}">
              <a16:creationId xmlns:a16="http://schemas.microsoft.com/office/drawing/2014/main" id="{8E5E3DF8-E85F-FE6B-4908-A68B5A02CE35}"/>
            </a:ext>
          </a:extLst>
        </xdr:cNvPr>
        <xdr:cNvGrpSpPr/>
      </xdr:nvGrpSpPr>
      <xdr:grpSpPr>
        <a:xfrm>
          <a:off x="2046285" y="2718016"/>
          <a:ext cx="4242172" cy="2975645"/>
          <a:chOff x="2053967" y="2752432"/>
          <a:chExt cx="4263683" cy="3017436"/>
        </a:xfrm>
      </xdr:grpSpPr>
      <xdr:sp macro="" textlink="">
        <xdr:nvSpPr>
          <xdr:cNvPr id="6" name="Rectangle: Rounded Corners 5">
            <a:extLst>
              <a:ext uri="{FF2B5EF4-FFF2-40B4-BE49-F238E27FC236}">
                <a16:creationId xmlns:a16="http://schemas.microsoft.com/office/drawing/2014/main" id="{1B399FDB-73A9-E7CF-6EB3-B15BA0696F62}"/>
              </a:ext>
            </a:extLst>
          </xdr:cNvPr>
          <xdr:cNvSpPr/>
        </xdr:nvSpPr>
        <xdr:spPr>
          <a:xfrm>
            <a:off x="2053967" y="2752432"/>
            <a:ext cx="4263683" cy="3017436"/>
          </a:xfrm>
          <a:prstGeom prst="rect">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3" name="Chart 12">
            <a:extLst>
              <a:ext uri="{FF2B5EF4-FFF2-40B4-BE49-F238E27FC236}">
                <a16:creationId xmlns:a16="http://schemas.microsoft.com/office/drawing/2014/main" id="{48B274DA-3B5D-474C-B904-AE2909EB3F60}"/>
              </a:ext>
            </a:extLst>
          </xdr:cNvPr>
          <xdr:cNvGraphicFramePr>
            <a:graphicFrameLocks/>
          </xdr:cNvGraphicFramePr>
        </xdr:nvGraphicFramePr>
        <xdr:xfrm>
          <a:off x="2137787" y="3008476"/>
          <a:ext cx="4096043" cy="2387238"/>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26" name="TextBox 25">
            <a:extLst>
              <a:ext uri="{FF2B5EF4-FFF2-40B4-BE49-F238E27FC236}">
                <a16:creationId xmlns:a16="http://schemas.microsoft.com/office/drawing/2014/main" id="{BA95A7BA-2E21-E593-A5E6-D18B97009467}"/>
              </a:ext>
            </a:extLst>
          </xdr:cNvPr>
          <xdr:cNvSpPr txBox="1"/>
        </xdr:nvSpPr>
        <xdr:spPr>
          <a:xfrm>
            <a:off x="3322876" y="5427452"/>
            <a:ext cx="1649665" cy="250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i="1">
                <a:solidFill>
                  <a:schemeClr val="accent3">
                    <a:lumMod val="40000"/>
                    <a:lumOff val="60000"/>
                  </a:schemeClr>
                </a:solidFill>
                <a:latin typeface="Impact" panose="020B0806030902050204" pitchFamily="34" charset="0"/>
              </a:rPr>
              <a:t>Net Sales</a:t>
            </a:r>
            <a:r>
              <a:rPr lang="en-IN" sz="1400" i="1" baseline="0">
                <a:solidFill>
                  <a:schemeClr val="accent3">
                    <a:lumMod val="40000"/>
                    <a:lumOff val="60000"/>
                  </a:schemeClr>
                </a:solidFill>
                <a:latin typeface="Impact" panose="020B0806030902050204" pitchFamily="34" charset="0"/>
              </a:rPr>
              <a:t> By Month</a:t>
            </a:r>
            <a:endParaRPr lang="en-IN" sz="1400" i="1">
              <a:solidFill>
                <a:schemeClr val="accent3">
                  <a:lumMod val="40000"/>
                  <a:lumOff val="60000"/>
                </a:schemeClr>
              </a:solidFill>
              <a:latin typeface="Impact" panose="020B0806030902050204" pitchFamily="34" charset="0"/>
            </a:endParaRPr>
          </a:p>
        </xdr:txBody>
      </xdr:sp>
    </xdr:grpSp>
    <xdr:clientData/>
  </xdr:twoCellAnchor>
  <xdr:twoCellAnchor>
    <xdr:from>
      <xdr:col>16</xdr:col>
      <xdr:colOff>253176</xdr:colOff>
      <xdr:row>14</xdr:row>
      <xdr:rowOff>132595</xdr:rowOff>
    </xdr:from>
    <xdr:to>
      <xdr:col>21</xdr:col>
      <xdr:colOff>199836</xdr:colOff>
      <xdr:row>49</xdr:row>
      <xdr:rowOff>123332</xdr:rowOff>
    </xdr:to>
    <xdr:grpSp>
      <xdr:nvGrpSpPr>
        <xdr:cNvPr id="46" name="Group 45">
          <a:extLst>
            <a:ext uri="{FF2B5EF4-FFF2-40B4-BE49-F238E27FC236}">
              <a16:creationId xmlns:a16="http://schemas.microsoft.com/office/drawing/2014/main" id="{C813CD16-016A-E67C-D9DE-4D35BBC2C26C}"/>
            </a:ext>
          </a:extLst>
        </xdr:cNvPr>
        <xdr:cNvGrpSpPr/>
      </xdr:nvGrpSpPr>
      <xdr:grpSpPr>
        <a:xfrm>
          <a:off x="10669506" y="2677256"/>
          <a:ext cx="2987669" cy="6352388"/>
          <a:chOff x="10912803" y="2720046"/>
          <a:chExt cx="3003034" cy="6438429"/>
        </a:xfrm>
      </xdr:grpSpPr>
      <xdr:sp macro="" textlink="">
        <xdr:nvSpPr>
          <xdr:cNvPr id="8" name="Rectangle: Rounded Corners 7">
            <a:extLst>
              <a:ext uri="{FF2B5EF4-FFF2-40B4-BE49-F238E27FC236}">
                <a16:creationId xmlns:a16="http://schemas.microsoft.com/office/drawing/2014/main" id="{A96E232C-E37A-1F73-5893-1E5C227B9E75}"/>
              </a:ext>
            </a:extLst>
          </xdr:cNvPr>
          <xdr:cNvSpPr/>
        </xdr:nvSpPr>
        <xdr:spPr>
          <a:xfrm rot="5400000">
            <a:off x="9195105" y="4437744"/>
            <a:ext cx="6438429" cy="3003034"/>
          </a:xfrm>
          <a:prstGeom prst="rect">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4" name="Chart 13">
            <a:extLst>
              <a:ext uri="{FF2B5EF4-FFF2-40B4-BE49-F238E27FC236}">
                <a16:creationId xmlns:a16="http://schemas.microsoft.com/office/drawing/2014/main" id="{C55E1E41-B334-4018-892E-26C929B74A4E}"/>
              </a:ext>
            </a:extLst>
          </xdr:cNvPr>
          <xdr:cNvGraphicFramePr>
            <a:graphicFrameLocks/>
          </xdr:cNvGraphicFramePr>
        </xdr:nvGraphicFramePr>
        <xdr:xfrm>
          <a:off x="10991026" y="3244624"/>
          <a:ext cx="2911594" cy="452130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28" name="TextBox 27">
            <a:extLst>
              <a:ext uri="{FF2B5EF4-FFF2-40B4-BE49-F238E27FC236}">
                <a16:creationId xmlns:a16="http://schemas.microsoft.com/office/drawing/2014/main" id="{57A27425-ECEB-03C0-110D-70DB8F29FEBB}"/>
              </a:ext>
            </a:extLst>
          </xdr:cNvPr>
          <xdr:cNvSpPr txBox="1"/>
        </xdr:nvSpPr>
        <xdr:spPr>
          <a:xfrm>
            <a:off x="11299288" y="8390208"/>
            <a:ext cx="2414619" cy="250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i="1">
                <a:solidFill>
                  <a:schemeClr val="accent3">
                    <a:lumMod val="40000"/>
                    <a:lumOff val="60000"/>
                  </a:schemeClr>
                </a:solidFill>
                <a:latin typeface="Impact" panose="020B0806030902050204" pitchFamily="34" charset="0"/>
              </a:rPr>
              <a:t>Net Sales</a:t>
            </a:r>
            <a:r>
              <a:rPr lang="en-IN" sz="1400" i="1" baseline="0">
                <a:solidFill>
                  <a:schemeClr val="accent3">
                    <a:lumMod val="40000"/>
                    <a:lumOff val="60000"/>
                  </a:schemeClr>
                </a:solidFill>
                <a:latin typeface="Impact" panose="020B0806030902050204" pitchFamily="34" charset="0"/>
              </a:rPr>
              <a:t> &amp; Profit By Category</a:t>
            </a:r>
            <a:endParaRPr lang="en-IN" sz="1400" i="1">
              <a:solidFill>
                <a:schemeClr val="accent3">
                  <a:lumMod val="40000"/>
                  <a:lumOff val="60000"/>
                </a:schemeClr>
              </a:solidFill>
              <a:latin typeface="Impact" panose="020B0806030902050204" pitchFamily="34" charset="0"/>
            </a:endParaRPr>
          </a:p>
        </xdr:txBody>
      </xdr:sp>
    </xdr:grpSp>
    <xdr:clientData/>
  </xdr:twoCellAnchor>
  <xdr:twoCellAnchor>
    <xdr:from>
      <xdr:col>2</xdr:col>
      <xdr:colOff>122760</xdr:colOff>
      <xdr:row>31</xdr:row>
      <xdr:rowOff>171582</xdr:rowOff>
    </xdr:from>
    <xdr:to>
      <xdr:col>16</xdr:col>
      <xdr:colOff>209341</xdr:colOff>
      <xdr:row>48</xdr:row>
      <xdr:rowOff>55343</xdr:rowOff>
    </xdr:to>
    <xdr:grpSp>
      <xdr:nvGrpSpPr>
        <xdr:cNvPr id="47" name="Group 46">
          <a:extLst>
            <a:ext uri="{FF2B5EF4-FFF2-40B4-BE49-F238E27FC236}">
              <a16:creationId xmlns:a16="http://schemas.microsoft.com/office/drawing/2014/main" id="{F67836E9-E4CD-A447-1919-7768DE1A673B}"/>
            </a:ext>
          </a:extLst>
        </xdr:cNvPr>
        <xdr:cNvGrpSpPr/>
      </xdr:nvGrpSpPr>
      <xdr:grpSpPr>
        <a:xfrm>
          <a:off x="2024265" y="5806188"/>
          <a:ext cx="8601406" cy="2973705"/>
          <a:chOff x="2082189" y="6083275"/>
          <a:chExt cx="8732918" cy="3011957"/>
        </a:xfrm>
      </xdr:grpSpPr>
      <xdr:sp macro="" textlink="">
        <xdr:nvSpPr>
          <xdr:cNvPr id="22" name="Rectangle: Rounded Corners 21">
            <a:extLst>
              <a:ext uri="{FF2B5EF4-FFF2-40B4-BE49-F238E27FC236}">
                <a16:creationId xmlns:a16="http://schemas.microsoft.com/office/drawing/2014/main" id="{0822BB26-7A7A-6D36-BABA-CC47962B2D78}"/>
              </a:ext>
            </a:extLst>
          </xdr:cNvPr>
          <xdr:cNvSpPr/>
        </xdr:nvSpPr>
        <xdr:spPr>
          <a:xfrm>
            <a:off x="2082189" y="6083275"/>
            <a:ext cx="8732918" cy="3011957"/>
          </a:xfrm>
          <a:prstGeom prst="rect">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3" name="Chart 22">
            <a:extLst>
              <a:ext uri="{FF2B5EF4-FFF2-40B4-BE49-F238E27FC236}">
                <a16:creationId xmlns:a16="http://schemas.microsoft.com/office/drawing/2014/main" id="{34D12AA2-E40A-455D-A119-2747C8F80328}"/>
              </a:ext>
            </a:extLst>
          </xdr:cNvPr>
          <xdr:cNvGraphicFramePr>
            <a:graphicFrameLocks/>
          </xdr:cNvGraphicFramePr>
        </xdr:nvGraphicFramePr>
        <xdr:xfrm>
          <a:off x="3887791" y="6086873"/>
          <a:ext cx="4583723" cy="2763296"/>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30" name="TextBox 29">
            <a:extLst>
              <a:ext uri="{FF2B5EF4-FFF2-40B4-BE49-F238E27FC236}">
                <a16:creationId xmlns:a16="http://schemas.microsoft.com/office/drawing/2014/main" id="{9F244A4C-D869-B778-151A-8AD75461C3A5}"/>
              </a:ext>
            </a:extLst>
          </xdr:cNvPr>
          <xdr:cNvSpPr txBox="1"/>
        </xdr:nvSpPr>
        <xdr:spPr>
          <a:xfrm>
            <a:off x="8394510" y="6225291"/>
            <a:ext cx="1500152" cy="251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i="1">
                <a:solidFill>
                  <a:schemeClr val="accent3">
                    <a:lumMod val="40000"/>
                    <a:lumOff val="60000"/>
                  </a:schemeClr>
                </a:solidFill>
                <a:latin typeface="Impact" panose="020B0806030902050204" pitchFamily="34" charset="0"/>
              </a:rPr>
              <a:t>Profit</a:t>
            </a:r>
            <a:r>
              <a:rPr lang="en-IN" sz="1400" i="1" baseline="0">
                <a:solidFill>
                  <a:schemeClr val="accent3">
                    <a:lumMod val="40000"/>
                    <a:lumOff val="60000"/>
                  </a:schemeClr>
                </a:solidFill>
                <a:latin typeface="Impact" panose="020B0806030902050204" pitchFamily="34" charset="0"/>
              </a:rPr>
              <a:t> By Category</a:t>
            </a:r>
            <a:endParaRPr lang="en-IN" sz="1400" i="1">
              <a:solidFill>
                <a:schemeClr val="accent3">
                  <a:lumMod val="40000"/>
                  <a:lumOff val="60000"/>
                </a:schemeClr>
              </a:solidFill>
              <a:latin typeface="Impact" panose="020B0806030902050204" pitchFamily="34" charset="0"/>
            </a:endParaRPr>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refreshedDate="46077.577516203703" createdVersion="8" refreshedVersion="8" minRefreshableVersion="3" recordCount="20" xr:uid="{81C17886-1286-40CD-BA56-01EB72E55033}">
  <cacheSource type="worksheet">
    <worksheetSource name="Table2"/>
  </cacheSource>
  <cacheFields count="17">
    <cacheField name="Order ID" numFmtId="0">
      <sharedItems containsSemiMixedTypes="0" containsString="0" containsNumber="1" containsInteger="1" minValue="2001" maxValue="2020"/>
    </cacheField>
    <cacheField name="Order Date" numFmtId="2">
      <sharedItems/>
    </cacheField>
    <cacheField name="Region" numFmtId="0">
      <sharedItems count="3">
        <s v="Asia"/>
        <s v="Europe"/>
        <s v="North America"/>
      </sharedItems>
    </cacheField>
    <cacheField name="Country" numFmtId="0">
      <sharedItems/>
    </cacheField>
    <cacheField name="Category" numFmtId="0">
      <sharedItems count="3">
        <s v="Electronics"/>
        <s v="Furniture"/>
        <s v="Clothing"/>
      </sharedItems>
    </cacheField>
    <cacheField name="Sub-Category" numFmtId="0">
      <sharedItems/>
    </cacheField>
    <cacheField name="Product" numFmtId="0">
      <sharedItems/>
    </cacheField>
    <cacheField name="Sales" numFmtId="0">
      <sharedItems containsSemiMixedTypes="0" containsString="0" containsNumber="1" containsInteger="1" minValue="35" maxValue="1200"/>
    </cacheField>
    <cacheField name="Profit" numFmtId="0">
      <sharedItems containsSemiMixedTypes="0" containsString="0" containsNumber="1" containsInteger="1" minValue="8" maxValue="250"/>
    </cacheField>
    <cacheField name="Quantity" numFmtId="0">
      <sharedItems containsSemiMixedTypes="0" containsString="0" containsNumber="1" containsInteger="1" minValue="1" maxValue="4"/>
    </cacheField>
    <cacheField name="Discount" numFmtId="0">
      <sharedItems containsSemiMixedTypes="0" containsString="0" containsNumber="1" minValue="0" maxValue="0.15" count="6">
        <n v="0.05"/>
        <n v="0.1"/>
        <n v="0.15"/>
        <n v="0"/>
        <n v="0.12"/>
        <n v="0.08"/>
      </sharedItems>
    </cacheField>
    <cacheField name="Customer Type" numFmtId="0">
      <sharedItems/>
    </cacheField>
    <cacheField name="Segment" numFmtId="0">
      <sharedItems/>
    </cacheField>
    <cacheField name="Ship Mode" numFmtId="0">
      <sharedItems/>
    </cacheField>
    <cacheField name="Net Sales" numFmtId="0">
      <sharedItems containsSemiMixedTypes="0" containsString="0" containsNumber="1" minValue="35" maxValue="1020"/>
    </cacheField>
    <cacheField name="Profit Margin" numFmtId="10">
      <sharedItems containsSemiMixedTypes="0" containsString="0" containsNumber="1" minValue="0.20833333333333334" maxValue="0.27272727272727271"/>
    </cacheField>
    <cacheField name="Month" numFmtId="0">
      <sharedItems count="2">
        <s v="January"/>
        <s v="February"/>
      </sharedItems>
    </cacheField>
  </cacheFields>
  <extLst>
    <ext xmlns:x14="http://schemas.microsoft.com/office/spreadsheetml/2009/9/main" uri="{725AE2AE-9491-48be-B2B4-4EB974FC3084}">
      <x14:pivotCacheDefinition pivotCacheId="17463351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2001"/>
    <s v="2024-01-02"/>
    <x v="0"/>
    <s v="India"/>
    <x v="0"/>
    <s v="Accessories"/>
    <s v="Headphones"/>
    <n v="120"/>
    <n v="30"/>
    <n v="2"/>
    <x v="0"/>
    <s v="Consumer"/>
    <s v="Urban"/>
    <s v="Standard Class"/>
    <n v="114"/>
    <n v="0.25"/>
    <x v="0"/>
  </r>
  <r>
    <n v="2002"/>
    <s v="2024-01-03"/>
    <x v="1"/>
    <s v="Germany"/>
    <x v="1"/>
    <s v="Chairs"/>
    <s v="Office Chair"/>
    <n v="340"/>
    <n v="80"/>
    <n v="1"/>
    <x v="1"/>
    <s v="Corporate"/>
    <s v="SMB"/>
    <s v="Second Class"/>
    <n v="306"/>
    <n v="0.23529411764705882"/>
    <x v="0"/>
  </r>
  <r>
    <n v="2003"/>
    <s v="2024-01-05"/>
    <x v="2"/>
    <s v="USA"/>
    <x v="0"/>
    <s v="Computers"/>
    <s v="Laptop"/>
    <n v="1200"/>
    <n v="250"/>
    <n v="1"/>
    <x v="2"/>
    <s v="Consumer"/>
    <s v="Enterprise"/>
    <s v="Standard Class"/>
    <n v="1020"/>
    <n v="0.20833333333333334"/>
    <x v="0"/>
  </r>
  <r>
    <n v="2004"/>
    <s v="2024-01-06"/>
    <x v="0"/>
    <s v="Japan"/>
    <x v="2"/>
    <s v="Outerwear"/>
    <s v="Jacket"/>
    <n v="180"/>
    <n v="40"/>
    <n v="2"/>
    <x v="3"/>
    <s v="Consumer"/>
    <s v="Urban"/>
    <s v="Standard Class"/>
    <n v="180"/>
    <n v="0.22222222222222221"/>
    <x v="0"/>
  </r>
  <r>
    <n v="2005"/>
    <s v="2024-01-08"/>
    <x v="1"/>
    <s v="France"/>
    <x v="0"/>
    <s v="Mobiles"/>
    <s v="Smartphone"/>
    <n v="900"/>
    <n v="200"/>
    <n v="1"/>
    <x v="1"/>
    <s v="Consumer"/>
    <s v="SMB"/>
    <s v="First Class"/>
    <n v="810"/>
    <n v="0.22222222222222221"/>
    <x v="0"/>
  </r>
  <r>
    <n v="2006"/>
    <s v="2024-01-10"/>
    <x v="2"/>
    <s v="Canada"/>
    <x v="1"/>
    <s v="Tables"/>
    <s v="Desk"/>
    <n v="450"/>
    <n v="120"/>
    <n v="1"/>
    <x v="0"/>
    <s v="Home Office"/>
    <s v="SMB"/>
    <s v="Second Class"/>
    <n v="427.5"/>
    <n v="0.26666666666666666"/>
    <x v="0"/>
  </r>
  <r>
    <n v="2007"/>
    <s v="2024-01-12"/>
    <x v="0"/>
    <s v="India"/>
    <x v="2"/>
    <s v="Tops"/>
    <s v="T-Shirt"/>
    <n v="60"/>
    <n v="15"/>
    <n v="3"/>
    <x v="3"/>
    <s v="Consumer"/>
    <s v="Urban"/>
    <s v="Standard Class"/>
    <n v="60"/>
    <n v="0.25"/>
    <x v="0"/>
  </r>
  <r>
    <n v="2008"/>
    <s v="2024-01-14"/>
    <x v="1"/>
    <s v="UK"/>
    <x v="0"/>
    <s v="Tablets"/>
    <s v="Tablet"/>
    <n v="650"/>
    <n v="150"/>
    <n v="1"/>
    <x v="4"/>
    <s v="Corporate"/>
    <s v="Enterprise"/>
    <s v="First Class"/>
    <n v="572"/>
    <n v="0.23076923076923078"/>
    <x v="0"/>
  </r>
  <r>
    <n v="2009"/>
    <s v="2024-01-16"/>
    <x v="2"/>
    <s v="USA"/>
    <x v="2"/>
    <s v="Footwear"/>
    <s v="Shoes"/>
    <n v="220"/>
    <n v="60"/>
    <n v="2"/>
    <x v="5"/>
    <s v="Consumer"/>
    <s v="Urban"/>
    <s v="Standard Class"/>
    <n v="202.4"/>
    <n v="0.27272727272727271"/>
    <x v="0"/>
  </r>
  <r>
    <n v="2010"/>
    <s v="2024-01-18"/>
    <x v="0"/>
    <s v="China"/>
    <x v="0"/>
    <s v="Cameras"/>
    <s v="Camera"/>
    <n v="500"/>
    <n v="110"/>
    <n v="1"/>
    <x v="1"/>
    <s v="Corporate"/>
    <s v="SMB"/>
    <s v="Second Class"/>
    <n v="450"/>
    <n v="0.22"/>
    <x v="0"/>
  </r>
  <r>
    <n v="2011"/>
    <s v="2024-02-01"/>
    <x v="1"/>
    <s v="Germany"/>
    <x v="2"/>
    <s v="Winterwear"/>
    <s v="Sweater"/>
    <n v="140"/>
    <n v="35"/>
    <n v="2"/>
    <x v="3"/>
    <s v="Consumer"/>
    <s v="Urban"/>
    <s v="Standard Class"/>
    <n v="140"/>
    <n v="0.25"/>
    <x v="1"/>
  </r>
  <r>
    <n v="2012"/>
    <s v="2024-02-03"/>
    <x v="2"/>
    <s v="USA"/>
    <x v="0"/>
    <s v="Monitors"/>
    <s v="Monitor"/>
    <n v="300"/>
    <n v="75"/>
    <n v="1"/>
    <x v="0"/>
    <s v="Home Office"/>
    <s v="Enterprise"/>
    <s v="Standard Class"/>
    <n v="285"/>
    <n v="0.25"/>
    <x v="1"/>
  </r>
  <r>
    <n v="2013"/>
    <s v="2024-02-05"/>
    <x v="0"/>
    <s v="India"/>
    <x v="1"/>
    <s v="Storage"/>
    <s v="Bookshelf"/>
    <n v="260"/>
    <n v="55"/>
    <n v="1"/>
    <x v="1"/>
    <s v="Corporate"/>
    <s v="SMB"/>
    <s v="Second Class"/>
    <n v="234"/>
    <n v="0.21153846153846154"/>
    <x v="1"/>
  </r>
  <r>
    <n v="2014"/>
    <s v="2024-02-07"/>
    <x v="1"/>
    <s v="France"/>
    <x v="1"/>
    <s v="Tables"/>
    <s v="Table"/>
    <n v="520"/>
    <n v="130"/>
    <n v="1"/>
    <x v="2"/>
    <s v="Home Office"/>
    <s v="SMB"/>
    <s v="First Class"/>
    <n v="442"/>
    <n v="0.25"/>
    <x v="1"/>
  </r>
  <r>
    <n v="2015"/>
    <s v="2024-02-09"/>
    <x v="2"/>
    <s v="Canada"/>
    <x v="0"/>
    <s v="Accessories"/>
    <s v="Keyboard"/>
    <n v="90"/>
    <n v="20"/>
    <n v="2"/>
    <x v="3"/>
    <s v="Consumer"/>
    <s v="Urban"/>
    <s v="Standard Class"/>
    <n v="90"/>
    <n v="0.22222222222222221"/>
    <x v="1"/>
  </r>
  <r>
    <n v="2016"/>
    <s v="2024-02-11"/>
    <x v="0"/>
    <s v="Japan"/>
    <x v="2"/>
    <s v="Denim"/>
    <s v="Jeans"/>
    <n v="200"/>
    <n v="45"/>
    <n v="2"/>
    <x v="0"/>
    <s v="Consumer"/>
    <s v="Urban"/>
    <s v="Standard Class"/>
    <n v="190"/>
    <n v="0.22500000000000001"/>
    <x v="1"/>
  </r>
  <r>
    <n v="2017"/>
    <s v="2024-02-13"/>
    <x v="1"/>
    <s v="UK"/>
    <x v="0"/>
    <s v="Accessories"/>
    <s v="Mouse"/>
    <n v="40"/>
    <n v="10"/>
    <n v="3"/>
    <x v="3"/>
    <s v="Corporate"/>
    <s v="SMB"/>
    <s v="Standard Class"/>
    <n v="40"/>
    <n v="0.25"/>
    <x v="1"/>
  </r>
  <r>
    <n v="2018"/>
    <s v="2024-02-15"/>
    <x v="2"/>
    <s v="USA"/>
    <x v="1"/>
    <s v="Storage"/>
    <s v="Cabinet"/>
    <n v="780"/>
    <n v="200"/>
    <n v="1"/>
    <x v="4"/>
    <s v="Corporate"/>
    <s v="Enterprise"/>
    <s v="Second Class"/>
    <n v="686.4"/>
    <n v="0.25641025641025639"/>
    <x v="1"/>
  </r>
  <r>
    <n v="2019"/>
    <s v="2024-02-17"/>
    <x v="0"/>
    <s v="China"/>
    <x v="2"/>
    <s v="Accessories"/>
    <s v="Cap"/>
    <n v="35"/>
    <n v="8"/>
    <n v="4"/>
    <x v="3"/>
    <s v="Consumer"/>
    <s v="Urban"/>
    <s v="Standard Class"/>
    <n v="35"/>
    <n v="0.22857142857142856"/>
    <x v="1"/>
  </r>
  <r>
    <n v="2020"/>
    <s v="2024-02-19"/>
    <x v="1"/>
    <s v="Germany"/>
    <x v="0"/>
    <s v="Audio"/>
    <s v="Speaker"/>
    <n v="150"/>
    <n v="35"/>
    <n v="1"/>
    <x v="0"/>
    <s v="Consumer"/>
    <s v="SMB"/>
    <s v="Standard Class"/>
    <n v="142.5"/>
    <n v="0.2333333333333333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463B63-84CE-4113-AAE0-E35285B247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showAll="0"/>
    <pivotField showAll="0">
      <items count="4">
        <item x="0"/>
        <item x="1"/>
        <item x="2"/>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numFmtId="10" showAll="0"/>
    <pivotField showAll="0">
      <items count="3">
        <item x="0"/>
        <item h="1" x="1"/>
        <item t="default"/>
      </items>
    </pivotField>
  </pivotFields>
  <rowItems count="1">
    <i/>
  </rowItems>
  <colItems count="1">
    <i/>
  </colItems>
  <dataFields count="1">
    <dataField name="Sum of Net Sales" fld="14" baseField="0" baseItem="0" numFmtId="3"/>
  </dataFields>
  <formats count="3">
    <format dxfId="52">
      <pivotArea type="all" dataOnly="0" outline="0" fieldPosition="0"/>
    </format>
    <format dxfId="51">
      <pivotArea outline="0" collapsedLevelsAreSubtotals="1" fieldPosition="0"/>
    </format>
    <format dxfId="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FA447D-EF03-419B-A2E3-A088D74AA29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B47" firstHeaderRow="1" firstDataRow="1" firstDataCol="1"/>
  <pivotFields count="17">
    <pivotField showAll="0"/>
    <pivotField showAll="0"/>
    <pivotField axis="axisRow" showAll="0">
      <items count="4">
        <item x="0"/>
        <item x="1"/>
        <item x="2"/>
        <item t="default"/>
      </items>
    </pivotField>
    <pivotField showAll="0"/>
    <pivotField showAll="0">
      <items count="4">
        <item x="2"/>
        <item x="0"/>
        <item x="1"/>
        <item t="default"/>
      </items>
    </pivotField>
    <pivotField showAll="0"/>
    <pivotField showAll="0"/>
    <pivotField showAll="0"/>
    <pivotField showAll="0"/>
    <pivotField showAll="0"/>
    <pivotField showAll="0">
      <items count="7">
        <item x="3"/>
        <item x="0"/>
        <item x="5"/>
        <item x="1"/>
        <item x="4"/>
        <item x="2"/>
        <item t="default"/>
      </items>
    </pivotField>
    <pivotField showAll="0"/>
    <pivotField showAll="0"/>
    <pivotField showAll="0"/>
    <pivotField dataField="1" showAll="0"/>
    <pivotField numFmtId="10" showAll="0"/>
    <pivotField showAll="0">
      <items count="3">
        <item x="0"/>
        <item h="1" x="1"/>
        <item t="default"/>
      </items>
    </pivotField>
  </pivotFields>
  <rowFields count="1">
    <field x="2"/>
  </rowFields>
  <rowItems count="4">
    <i>
      <x/>
    </i>
    <i>
      <x v="1"/>
    </i>
    <i>
      <x v="2"/>
    </i>
    <i t="grand">
      <x/>
    </i>
  </rowItems>
  <colItems count="1">
    <i/>
  </colItems>
  <dataFields count="1">
    <dataField name="Sum of Net Sales" fld="14" baseField="0" baseItem="0" numFmtId="3"/>
  </dataFields>
  <formats count="6">
    <format dxfId="58">
      <pivotArea type="all" dataOnly="0" outline="0" fieldPosition="0"/>
    </format>
    <format dxfId="57">
      <pivotArea outline="0" collapsedLevelsAreSubtotals="1" fieldPosition="0"/>
    </format>
    <format dxfId="56">
      <pivotArea field="2" type="button" dataOnly="0" labelOnly="1" outline="0" axis="axisRow" fieldPosition="0"/>
    </format>
    <format dxfId="55">
      <pivotArea dataOnly="0" labelOnly="1" fieldPosition="0">
        <references count="1">
          <reference field="2" count="0"/>
        </references>
      </pivotArea>
    </format>
    <format dxfId="54">
      <pivotArea dataOnly="0" labelOnly="1" grandRow="1" outline="0" fieldPosition="0"/>
    </format>
    <format dxfId="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02991C-F442-4E3D-BA97-60427808BFC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7">
    <pivotField showAll="0"/>
    <pivotField showAll="0"/>
    <pivotField showAll="0">
      <items count="4">
        <item x="0"/>
        <item x="1"/>
        <item x="2"/>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dataField="1" numFmtId="10" showAll="0"/>
    <pivotField showAll="0">
      <items count="3">
        <item x="0"/>
        <item h="1" x="1"/>
        <item t="default"/>
      </items>
    </pivotField>
  </pivotFields>
  <rowItems count="1">
    <i/>
  </rowItems>
  <colItems count="1">
    <i/>
  </colItems>
  <dataFields count="1">
    <dataField name="Average of Profit Margin" fld="15" subtotal="average" baseField="0" baseItem="0" numFmtId="10"/>
  </dataFields>
  <formats count="3">
    <format dxfId="61">
      <pivotArea type="all" dataOnly="0" outline="0" fieldPosition="0"/>
    </format>
    <format dxfId="60">
      <pivotArea dataOnly="0" labelOnly="1" outline="0" axis="axisValues" fieldPosition="0"/>
    </format>
    <format dxfId="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C44A22-CF97-46C8-A674-1B98210D1120}"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4:F51" firstHeaderRow="1" firstDataRow="1" firstDataCol="0"/>
  <pivotFields count="17">
    <pivotField showAll="0"/>
    <pivotField showAll="0"/>
    <pivotField showAll="0">
      <items count="4">
        <item x="0"/>
        <item x="1"/>
        <item x="2"/>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0"/>
        <item h="1" x="1"/>
        <item t="default"/>
      </items>
    </pivotField>
  </pivotFields>
  <formats count="1">
    <format dxfId="6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A8A240-8AF5-4CB4-A670-72B0D74D76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9:B53" firstHeaderRow="1" firstDataRow="1" firstDataCol="1"/>
  <pivotFields count="17">
    <pivotField showAll="0"/>
    <pivotField showAll="0"/>
    <pivotField showAll="0">
      <items count="4">
        <item x="0"/>
        <item x="1"/>
        <item x="2"/>
        <item t="default"/>
      </items>
    </pivotField>
    <pivotField showAll="0"/>
    <pivotField axis="axisRow" showAll="0">
      <items count="4">
        <item x="2"/>
        <item x="0"/>
        <item x="1"/>
        <item t="default"/>
      </items>
    </pivotField>
    <pivotField showAll="0"/>
    <pivotField showAll="0"/>
    <pivotField showAll="0"/>
    <pivotField dataField="1" showAll="0"/>
    <pivotField showAll="0"/>
    <pivotField showAll="0"/>
    <pivotField showAll="0"/>
    <pivotField showAll="0"/>
    <pivotField showAll="0"/>
    <pivotField showAll="0"/>
    <pivotField numFmtId="10" showAll="0"/>
    <pivotField showAll="0">
      <items count="3">
        <item x="0"/>
        <item h="1" x="1"/>
        <item t="default"/>
      </items>
    </pivotField>
  </pivotFields>
  <rowFields count="1">
    <field x="4"/>
  </rowFields>
  <rowItems count="4">
    <i>
      <x/>
    </i>
    <i>
      <x v="1"/>
    </i>
    <i>
      <x v="2"/>
    </i>
    <i t="grand">
      <x/>
    </i>
  </rowItems>
  <colItems count="1">
    <i/>
  </colItems>
  <dataFields count="1">
    <dataField name="Sum of Profit" fld="8" baseField="0" baseItem="0"/>
  </dataFields>
  <formats count="6">
    <format dxfId="68">
      <pivotArea type="all" dataOnly="0" outline="0" fieldPosition="0"/>
    </format>
    <format dxfId="67">
      <pivotArea outline="0" collapsedLevelsAreSubtotals="1" fieldPosition="0"/>
    </format>
    <format dxfId="66">
      <pivotArea field="4" type="button" dataOnly="0" labelOnly="1" outline="0" axis="axisRow" fieldPosition="0"/>
    </format>
    <format dxfId="65">
      <pivotArea dataOnly="0" labelOnly="1" fieldPosition="0">
        <references count="1">
          <reference field="4" count="0"/>
        </references>
      </pivotArea>
    </format>
    <format dxfId="64">
      <pivotArea dataOnly="0" labelOnly="1" grandRow="1" outline="0" fieldPosition="0"/>
    </format>
    <format dxfId="63">
      <pivotArea dataOnly="0" labelOnly="1" outline="0" axis="axisValues" fieldPosition="0"/>
    </format>
  </formats>
  <chartFormats count="4">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4" count="1" selected="0">
            <x v="2"/>
          </reference>
        </references>
      </pivotArea>
    </chartFormat>
    <chartFormat chart="5" format="11">
      <pivotArea type="data" outline="0" fieldPosition="0">
        <references count="2">
          <reference field="4294967294" count="1" selected="0">
            <x v="0"/>
          </reference>
          <reference field="4" count="1" selected="0">
            <x v="1"/>
          </reference>
        </references>
      </pivotArea>
    </chartFormat>
    <chartFormat chart="5" format="12">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43B911-8475-41D0-B2AE-F8030E348F4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6:E31" firstHeaderRow="1" firstDataRow="2" firstDataCol="1"/>
  <pivotFields count="17">
    <pivotField showAll="0"/>
    <pivotField showAll="0"/>
    <pivotField axis="axisRow" showAll="0">
      <items count="4">
        <item x="0"/>
        <item x="1"/>
        <item x="2"/>
        <item t="default"/>
      </items>
    </pivotField>
    <pivotField showAll="0"/>
    <pivotField axis="axisCol"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numFmtId="10" showAll="0"/>
    <pivotField showAll="0">
      <items count="3">
        <item x="0"/>
        <item h="1" x="1"/>
        <item t="default"/>
      </items>
    </pivotField>
  </pivotFields>
  <rowFields count="1">
    <field x="2"/>
  </rowFields>
  <rowItems count="4">
    <i>
      <x/>
    </i>
    <i>
      <x v="1"/>
    </i>
    <i>
      <x v="2"/>
    </i>
    <i t="grand">
      <x/>
    </i>
  </rowItems>
  <colFields count="1">
    <field x="4"/>
  </colFields>
  <colItems count="4">
    <i>
      <x/>
    </i>
    <i>
      <x v="1"/>
    </i>
    <i>
      <x v="2"/>
    </i>
    <i t="grand">
      <x/>
    </i>
  </colItems>
  <dataFields count="1">
    <dataField name="Sum of Net Sales" fld="14" baseField="0" baseItem="0" numFmtId="3"/>
  </dataFields>
  <formats count="10">
    <format dxfId="78">
      <pivotArea type="all" dataOnly="0" outline="0" fieldPosition="0"/>
    </format>
    <format dxfId="77">
      <pivotArea outline="0" collapsedLevelsAreSubtotals="1" fieldPosition="0"/>
    </format>
    <format dxfId="76">
      <pivotArea type="origin" dataOnly="0" labelOnly="1" outline="0" fieldPosition="0"/>
    </format>
    <format dxfId="75">
      <pivotArea field="4" type="button" dataOnly="0" labelOnly="1" outline="0" axis="axisCol" fieldPosition="0"/>
    </format>
    <format dxfId="74">
      <pivotArea type="topRight" dataOnly="0" labelOnly="1" outline="0"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grandRow="1" outline="0" fieldPosition="0"/>
    </format>
    <format dxfId="70">
      <pivotArea dataOnly="0" labelOnly="1" fieldPosition="0">
        <references count="1">
          <reference field="4" count="0"/>
        </references>
      </pivotArea>
    </format>
    <format dxfId="69">
      <pivotArea dataOnly="0" labelOnly="1" grandCol="1" outline="0" fieldPosition="0"/>
    </format>
  </formats>
  <chartFormats count="6">
    <chartFormat chart="5" format="0" series="1">
      <pivotArea type="data" outline="0" fieldPosition="0">
        <references count="2">
          <reference field="4294967294" count="1" selected="0">
            <x v="0"/>
          </reference>
          <reference field="4" count="1" selected="0">
            <x v="0"/>
          </reference>
        </references>
      </pivotArea>
    </chartFormat>
    <chartFormat chart="5" format="1" series="1">
      <pivotArea type="data" outline="0" fieldPosition="0">
        <references count="2">
          <reference field="4294967294" count="1" selected="0">
            <x v="0"/>
          </reference>
          <reference field="4" count="1" selected="0">
            <x v="1"/>
          </reference>
        </references>
      </pivotArea>
    </chartFormat>
    <chartFormat chart="5" format="2" series="1">
      <pivotArea type="data" outline="0" fieldPosition="0">
        <references count="2">
          <reference field="4294967294" count="1" selected="0">
            <x v="0"/>
          </reference>
          <reference field="4" count="1" selected="0">
            <x v="2"/>
          </reference>
        </references>
      </pivotArea>
    </chartFormat>
    <chartFormat chart="13" format="12" series="1">
      <pivotArea type="data" outline="0" fieldPosition="0">
        <references count="2">
          <reference field="4294967294" count="1" selected="0">
            <x v="0"/>
          </reference>
          <reference field="4" count="1" selected="0">
            <x v="0"/>
          </reference>
        </references>
      </pivotArea>
    </chartFormat>
    <chartFormat chart="13" format="13" series="1">
      <pivotArea type="data" outline="0" fieldPosition="0">
        <references count="2">
          <reference field="4294967294" count="1" selected="0">
            <x v="0"/>
          </reference>
          <reference field="4" count="1" selected="0">
            <x v="1"/>
          </reference>
        </references>
      </pivotArea>
    </chartFormat>
    <chartFormat chart="13" format="14"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C9BEC0-3D0E-4B3B-8C8E-1A412DFA53B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9:C23" firstHeaderRow="0" firstDataRow="1" firstDataCol="1"/>
  <pivotFields count="17">
    <pivotField showAll="0"/>
    <pivotField showAll="0"/>
    <pivotField showAll="0">
      <items count="4">
        <item x="0"/>
        <item x="1"/>
        <item x="2"/>
        <item t="default"/>
      </items>
    </pivotField>
    <pivotField showAll="0"/>
    <pivotField axis="axisRow" showAll="0">
      <items count="4">
        <item x="2"/>
        <item x="0"/>
        <item x="1"/>
        <item t="default"/>
      </items>
    </pivotField>
    <pivotField showAll="0"/>
    <pivotField showAll="0"/>
    <pivotField showAll="0"/>
    <pivotField dataField="1" showAll="0"/>
    <pivotField showAll="0"/>
    <pivotField showAll="0"/>
    <pivotField showAll="0"/>
    <pivotField showAll="0"/>
    <pivotField showAll="0"/>
    <pivotField dataField="1" showAll="0"/>
    <pivotField numFmtId="10" showAll="0"/>
    <pivotField showAll="0">
      <items count="3">
        <item x="0"/>
        <item h="1" x="1"/>
        <item t="default"/>
      </items>
    </pivotField>
  </pivotFields>
  <rowFields count="1">
    <field x="4"/>
  </rowFields>
  <rowItems count="4">
    <i>
      <x/>
    </i>
    <i>
      <x v="1"/>
    </i>
    <i>
      <x v="2"/>
    </i>
    <i t="grand">
      <x/>
    </i>
  </rowItems>
  <colFields count="1">
    <field x="-2"/>
  </colFields>
  <colItems count="2">
    <i>
      <x/>
    </i>
    <i i="1">
      <x v="1"/>
    </i>
  </colItems>
  <dataFields count="2">
    <dataField name="Sum of Net Sales" fld="14" baseField="0" baseItem="0"/>
    <dataField name="Sum of Profit" fld="8" baseField="0" baseItem="0"/>
  </dataFields>
  <formats count="6">
    <format dxfId="84">
      <pivotArea type="all" dataOnly="0" outline="0" fieldPosition="0"/>
    </format>
    <format dxfId="83">
      <pivotArea outline="0" collapsedLevelsAreSubtotals="1" fieldPosition="0"/>
    </format>
    <format dxfId="82">
      <pivotArea field="4" type="button" dataOnly="0" labelOnly="1" outline="0" axis="axisRow" fieldPosition="0"/>
    </format>
    <format dxfId="81">
      <pivotArea dataOnly="0" labelOnly="1" fieldPosition="0">
        <references count="1">
          <reference field="4" count="0"/>
        </references>
      </pivotArea>
    </format>
    <format dxfId="80">
      <pivotArea dataOnly="0" labelOnly="1" grandRow="1" outline="0" fieldPosition="0"/>
    </format>
    <format dxfId="79">
      <pivotArea dataOnly="0" labelOnly="1" outline="0" fieldPosition="0">
        <references count="1">
          <reference field="4294967294" count="2">
            <x v="0"/>
            <x v="1"/>
          </reference>
        </references>
      </pivotArea>
    </format>
  </formats>
  <chartFormats count="4">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0"/>
          </reference>
        </references>
      </pivotArea>
    </chartFormat>
    <chartFormat chart="2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F4A69D-1B6B-4F05-9D0F-3531BB47F39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B41" firstHeaderRow="1" firstDataRow="1" firstDataCol="1"/>
  <pivotFields count="17">
    <pivotField showAll="0"/>
    <pivotField showAll="0"/>
    <pivotField showAll="0">
      <items count="4">
        <item x="0"/>
        <item x="1"/>
        <item x="2"/>
        <item t="default"/>
      </items>
    </pivotField>
    <pivotField showAll="0"/>
    <pivotField showAll="0">
      <items count="4">
        <item x="2"/>
        <item x="0"/>
        <item x="1"/>
        <item t="default"/>
      </items>
    </pivotField>
    <pivotField showAll="0"/>
    <pivotField showAll="0"/>
    <pivotField showAll="0"/>
    <pivotField dataField="1" showAll="0"/>
    <pivotField showAll="0"/>
    <pivotField axis="axisRow" showAll="0">
      <items count="7">
        <item x="3"/>
        <item x="0"/>
        <item x="5"/>
        <item x="1"/>
        <item x="4"/>
        <item x="2"/>
        <item t="default"/>
      </items>
    </pivotField>
    <pivotField showAll="0"/>
    <pivotField showAll="0"/>
    <pivotField showAll="0"/>
    <pivotField showAll="0"/>
    <pivotField numFmtId="10" showAll="0"/>
    <pivotField showAll="0">
      <items count="3">
        <item x="0"/>
        <item h="1" x="1"/>
        <item t="default"/>
      </items>
    </pivotField>
  </pivotFields>
  <rowFields count="1">
    <field x="10"/>
  </rowFields>
  <rowItems count="7">
    <i>
      <x/>
    </i>
    <i>
      <x v="1"/>
    </i>
    <i>
      <x v="2"/>
    </i>
    <i>
      <x v="3"/>
    </i>
    <i>
      <x v="4"/>
    </i>
    <i>
      <x v="5"/>
    </i>
    <i t="grand">
      <x/>
    </i>
  </rowItems>
  <colItems count="1">
    <i/>
  </colItems>
  <dataFields count="1">
    <dataField name="Sum of Profit" fld="8" baseField="0" baseItem="0" numFmtId="3"/>
  </dataFields>
  <formats count="6">
    <format dxfId="90">
      <pivotArea type="all" dataOnly="0" outline="0" fieldPosition="0"/>
    </format>
    <format dxfId="89">
      <pivotArea outline="0" collapsedLevelsAreSubtotals="1" fieldPosition="0"/>
    </format>
    <format dxfId="88">
      <pivotArea field="10" type="button" dataOnly="0" labelOnly="1" outline="0" axis="axisRow" fieldPosition="0"/>
    </format>
    <format dxfId="87">
      <pivotArea dataOnly="0" labelOnly="1" fieldPosition="0">
        <references count="1">
          <reference field="10" count="0"/>
        </references>
      </pivotArea>
    </format>
    <format dxfId="86">
      <pivotArea dataOnly="0" labelOnly="1" grandRow="1" outline="0" fieldPosition="0"/>
    </format>
    <format dxfId="8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960F73-874F-46D2-AB13-357C89955D6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13:B15" firstHeaderRow="1" firstDataRow="1" firstDataCol="1"/>
  <pivotFields count="17">
    <pivotField showAll="0"/>
    <pivotField showAll="0"/>
    <pivotField showAll="0">
      <items count="4">
        <item x="0"/>
        <item x="1"/>
        <item x="2"/>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numFmtId="10" showAll="0"/>
    <pivotField axis="axisRow" showAll="0">
      <items count="3">
        <item x="0"/>
        <item h="1" x="1"/>
        <item t="default"/>
      </items>
    </pivotField>
  </pivotFields>
  <rowFields count="1">
    <field x="16"/>
  </rowFields>
  <rowItems count="2">
    <i>
      <x/>
    </i>
    <i t="grand">
      <x/>
    </i>
  </rowItems>
  <colItems count="1">
    <i/>
  </colItems>
  <dataFields count="1">
    <dataField name="Sum of Net Sales" fld="14" baseField="0" baseItem="0" numFmtId="3"/>
  </dataFields>
  <formats count="6">
    <format dxfId="96">
      <pivotArea type="all" dataOnly="0" outline="0" fieldPosition="0"/>
    </format>
    <format dxfId="95">
      <pivotArea outline="0" collapsedLevelsAreSubtotals="1" fieldPosition="0"/>
    </format>
    <format dxfId="94">
      <pivotArea field="16" type="button" dataOnly="0" labelOnly="1" outline="0" axis="axisRow" fieldPosition="0"/>
    </format>
    <format dxfId="93">
      <pivotArea dataOnly="0" labelOnly="1" fieldPosition="0">
        <references count="1">
          <reference field="16" count="0"/>
        </references>
      </pivotArea>
    </format>
    <format dxfId="92">
      <pivotArea dataOnly="0" labelOnly="1" grandRow="1" outline="0" fieldPosition="0"/>
    </format>
    <format dxfId="91">
      <pivotArea dataOnly="0" labelOnly="1" outline="0" axis="axisValues" fieldPosition="0"/>
    </format>
  </formats>
  <chartFormats count="1">
    <chartFormat chart="3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BC5A80-331B-4A67-A21C-FCD8D99025C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7">
    <pivotField showAll="0"/>
    <pivotField showAll="0"/>
    <pivotField showAll="0">
      <items count="4">
        <item x="0"/>
        <item x="1"/>
        <item x="2"/>
        <item t="default"/>
      </items>
    </pivotField>
    <pivotField showAll="0"/>
    <pivotField showAll="0">
      <items count="4">
        <item x="2"/>
        <item x="0"/>
        <item x="1"/>
        <item t="default"/>
      </items>
    </pivotField>
    <pivotField showAll="0"/>
    <pivotField showAll="0"/>
    <pivotField showAll="0"/>
    <pivotField dataField="1" showAll="0"/>
    <pivotField showAll="0"/>
    <pivotField showAll="0"/>
    <pivotField showAll="0"/>
    <pivotField showAll="0"/>
    <pivotField showAll="0"/>
    <pivotField showAll="0"/>
    <pivotField numFmtId="10" showAll="0"/>
    <pivotField showAll="0">
      <items count="3">
        <item x="0"/>
        <item h="1" x="1"/>
        <item t="default"/>
      </items>
    </pivotField>
  </pivotFields>
  <rowItems count="1">
    <i/>
  </rowItems>
  <colItems count="1">
    <i/>
  </colItems>
  <dataFields count="1">
    <dataField name="Sum of Profit" fld="8" baseField="0" baseItem="0" numFmtId="3"/>
  </dataFields>
  <formats count="3">
    <format dxfId="99">
      <pivotArea type="all" dataOnly="0" outline="0" fieldPosition="0"/>
    </format>
    <format dxfId="98">
      <pivotArea outline="0" collapsedLevelsAreSubtotals="1" fieldPosition="0"/>
    </format>
    <format dxfId="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E33660-053E-4E85-B242-835F4488CBC2}" sourceName="Region">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17"/>
    <pivotTable tabId="4" name="PivotTable2"/>
    <pivotTable tabId="4" name="PivotTable9"/>
  </pivotTables>
  <data>
    <tabular pivotCacheId="174633519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C68E75F-999B-4AAE-95A3-9482BB9453EC}" sourceName="Category">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17"/>
    <pivotTable tabId="4" name="PivotTable2"/>
    <pivotTable tabId="4" name="PivotTable9"/>
  </pivotTables>
  <data>
    <tabular pivotCacheId="174633519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643975E-7D39-48EE-9234-573EEFF053D2}" sourceName="Month">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17"/>
    <pivotTable tabId="4" name="PivotTable2"/>
    <pivotTable tabId="4" name="PivotTable9"/>
  </pivotTables>
  <data>
    <tabular pivotCacheId="1746335196">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A931F62-3288-4D07-9BAC-C0946C2A74E1}" cache="Slicer_Region" caption="Region" style="Slicer Style 8" rowHeight="234950"/>
  <slicer name="Category" xr10:uid="{E719EC7D-5280-44A3-B181-CC9F06E93DF1}" cache="Slicer_Category" caption="Category" style="Slicer Style 8" rowHeight="234950"/>
  <slicer name="Month" xr10:uid="{98ED1A01-A95E-4B07-B325-19B093C59886}" cache="Slicer_Month" caption="Month" columnCount="2" style="Slicer Style 8"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D52AA7-C8CD-4AA7-8216-F30827873F05}" name="Table2" displayName="Table2" ref="B4:R24" totalsRowShown="0">
  <autoFilter ref="B4:R24" xr:uid="{E1D52AA7-C8CD-4AA7-8216-F30827873F05}"/>
  <tableColumns count="17">
    <tableColumn id="1" xr3:uid="{44453CAE-1AE8-41D1-84AE-8108478A90F9}" name="Order ID" dataDxfId="104"/>
    <tableColumn id="2" xr3:uid="{EAF4B6F7-A32D-4D08-9E9D-CCA4A86CC73F}" name="Order Date" dataDxfId="103"/>
    <tableColumn id="3" xr3:uid="{D9C724B6-3EF8-4B79-965C-08A73930C9D0}" name="Region"/>
    <tableColumn id="4" xr3:uid="{AB37F3EE-F7A1-42A4-8263-7BE9DE8D2A65}" name="Country"/>
    <tableColumn id="5" xr3:uid="{1FEC1A8C-33F9-4342-B43E-76D0887A5677}" name="Category"/>
    <tableColumn id="6" xr3:uid="{24E41597-F45D-40FD-AA48-34787F27BE88}" name="Sub-Category"/>
    <tableColumn id="7" xr3:uid="{4DDB8525-95E5-4987-87FE-CAE8443E566C}" name="Product"/>
    <tableColumn id="8" xr3:uid="{9E756F7A-F32F-4555-A22B-4EBECAE6BA25}" name="Sales"/>
    <tableColumn id="9" xr3:uid="{4125DDA8-6DC7-4D95-8279-7C9622C99AA0}" name="Profit"/>
    <tableColumn id="10" xr3:uid="{05D6DCFD-3DFA-4A88-9B16-0236A0A3B947}" name="Quantity"/>
    <tableColumn id="11" xr3:uid="{49B749E7-3611-48E8-A183-0CA9C466F35A}" name="Discount"/>
    <tableColumn id="12" xr3:uid="{3A8603E9-ED28-4267-8C5A-CEF38705F43D}" name="Customer Type"/>
    <tableColumn id="13" xr3:uid="{FD9BABC3-B99C-4BDE-AB41-4B86E73ED951}" name="Segment"/>
    <tableColumn id="15" xr3:uid="{53F9812C-12CE-4F31-AF7A-39B19EDFD610}" name="Ship Mode"/>
    <tableColumn id="14" xr3:uid="{0F189AB7-830C-4049-8E70-08030605B3D4}" name="Net Sales" dataDxfId="102">
      <calculatedColumnFormula>Table2[[#This Row],[Sales]]*(1-Table2[[#This Row],[Discount]])</calculatedColumnFormula>
    </tableColumn>
    <tableColumn id="16" xr3:uid="{8808BC93-4788-43A5-9B59-A3AB6D3F08C5}" name="Profit Margin" dataDxfId="101">
      <calculatedColumnFormula>IF(Table2[[#This Row],[Sales]]=0,0,Table2[[#This Row],[Profit]]/Table2[[#This Row],[Sales]])</calculatedColumnFormula>
    </tableColumn>
    <tableColumn id="17" xr3:uid="{B73D3106-EBFE-46E0-9099-F3A974A1290D}" name="Month" dataDxfId="100">
      <calculatedColumnFormula>TEXT(Table2[[#This Row],[Order Date]],"mmmm")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78520-019F-47E9-B82D-3A66411B57DD}">
  <sheetPr>
    <tabColor theme="5" tint="0.59999389629810485"/>
  </sheetPr>
  <dimension ref="A1:AQ1"/>
  <sheetViews>
    <sheetView showGridLines="0" showRowColHeaders="0" tabSelected="1" topLeftCell="A3" zoomScale="109" zoomScaleNormal="57" workbookViewId="0">
      <selection activeCell="T152" sqref="T152"/>
    </sheetView>
  </sheetViews>
  <sheetFormatPr defaultRowHeight="14.4" x14ac:dyDescent="0.3"/>
  <cols>
    <col min="1" max="2" width="13.88671875" style="3" customWidth="1"/>
    <col min="3" max="43" width="8.8867187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86FB0-CB47-4053-8774-CA7E717F02D1}">
  <sheetPr>
    <tabColor theme="4" tint="0.59999389629810485"/>
  </sheetPr>
  <dimension ref="B3:R24"/>
  <sheetViews>
    <sheetView showGridLines="0" workbookViewId="0">
      <selection activeCell="Q6" sqref="Q6"/>
    </sheetView>
  </sheetViews>
  <sheetFormatPr defaultRowHeight="14.4" x14ac:dyDescent="0.3"/>
  <cols>
    <col min="1" max="2" width="10.21875" bestFit="1" customWidth="1"/>
    <col min="3" max="3" width="12.33203125" bestFit="1" customWidth="1"/>
    <col min="4" max="4" width="12.88671875" bestFit="1" customWidth="1"/>
    <col min="5" max="5" width="10" bestFit="1" customWidth="1"/>
    <col min="6" max="6" width="10.77734375" bestFit="1" customWidth="1"/>
    <col min="7" max="7" width="14.6640625" bestFit="1" customWidth="1"/>
    <col min="8" max="8" width="11.109375" bestFit="1" customWidth="1"/>
    <col min="9" max="9" width="7.44140625" bestFit="1" customWidth="1"/>
    <col min="10" max="10" width="7.88671875" bestFit="1" customWidth="1"/>
    <col min="11" max="12" width="10.5546875" bestFit="1" customWidth="1"/>
    <col min="13" max="13" width="16" bestFit="1" customWidth="1"/>
    <col min="14" max="14" width="10.6640625" bestFit="1" customWidth="1"/>
    <col min="15" max="15" width="12.77734375" bestFit="1" customWidth="1"/>
    <col min="16" max="16" width="10.88671875" bestFit="1" customWidth="1"/>
    <col min="17" max="17" width="14.33203125" bestFit="1" customWidth="1"/>
    <col min="18" max="18" width="9" bestFit="1" customWidth="1"/>
  </cols>
  <sheetData>
    <row r="3" spans="2:18" x14ac:dyDescent="0.3">
      <c r="B3" s="16" t="s">
        <v>102</v>
      </c>
    </row>
    <row r="4" spans="2:18" x14ac:dyDescent="0.3">
      <c r="B4" t="s">
        <v>0</v>
      </c>
      <c r="C4" t="s">
        <v>1</v>
      </c>
      <c r="D4" t="s">
        <v>2</v>
      </c>
      <c r="E4" t="s">
        <v>3</v>
      </c>
      <c r="F4" t="s">
        <v>4</v>
      </c>
      <c r="G4" t="s">
        <v>5</v>
      </c>
      <c r="H4" t="s">
        <v>6</v>
      </c>
      <c r="I4" t="s">
        <v>7</v>
      </c>
      <c r="J4" t="s">
        <v>8</v>
      </c>
      <c r="K4" t="s">
        <v>9</v>
      </c>
      <c r="L4" t="s">
        <v>10</v>
      </c>
      <c r="M4" t="s">
        <v>11</v>
      </c>
      <c r="N4" t="s">
        <v>12</v>
      </c>
      <c r="O4" t="s">
        <v>13</v>
      </c>
      <c r="P4" t="s">
        <v>92</v>
      </c>
      <c r="Q4" t="s">
        <v>93</v>
      </c>
      <c r="R4" t="s">
        <v>94</v>
      </c>
    </row>
    <row r="5" spans="2:18" x14ac:dyDescent="0.3">
      <c r="B5">
        <v>2001</v>
      </c>
      <c r="C5" s="1" t="s">
        <v>14</v>
      </c>
      <c r="D5" t="s">
        <v>15</v>
      </c>
      <c r="E5" t="s">
        <v>16</v>
      </c>
      <c r="F5" t="s">
        <v>17</v>
      </c>
      <c r="G5" t="s">
        <v>18</v>
      </c>
      <c r="H5" t="s">
        <v>19</v>
      </c>
      <c r="I5">
        <v>120</v>
      </c>
      <c r="J5">
        <v>30</v>
      </c>
      <c r="K5">
        <v>2</v>
      </c>
      <c r="L5">
        <v>0.05</v>
      </c>
      <c r="M5" t="s">
        <v>20</v>
      </c>
      <c r="N5" t="s">
        <v>21</v>
      </c>
      <c r="O5" t="s">
        <v>22</v>
      </c>
      <c r="P5">
        <f>Table2[[#This Row],[Sales]]*(1-Table2[[#This Row],[Discount]])</f>
        <v>114</v>
      </c>
      <c r="Q5" s="2">
        <f>IF(Table2[[#This Row],[Sales]]=0,0,Table2[[#This Row],[Profit]]/Table2[[#This Row],[Sales]])</f>
        <v>0.25</v>
      </c>
      <c r="R5" t="str">
        <f>TEXT(Table2[[#This Row],[Order Date]],"mmmm")</f>
        <v>January</v>
      </c>
    </row>
    <row r="6" spans="2:18" x14ac:dyDescent="0.3">
      <c r="B6">
        <v>2002</v>
      </c>
      <c r="C6" s="1" t="s">
        <v>23</v>
      </c>
      <c r="D6" t="s">
        <v>24</v>
      </c>
      <c r="E6" t="s">
        <v>25</v>
      </c>
      <c r="F6" t="s">
        <v>26</v>
      </c>
      <c r="G6" t="s">
        <v>27</v>
      </c>
      <c r="H6" t="s">
        <v>28</v>
      </c>
      <c r="I6">
        <v>340</v>
      </c>
      <c r="J6">
        <v>80</v>
      </c>
      <c r="K6">
        <v>1</v>
      </c>
      <c r="L6">
        <v>0.1</v>
      </c>
      <c r="M6" t="s">
        <v>29</v>
      </c>
      <c r="N6" t="s">
        <v>30</v>
      </c>
      <c r="O6" t="s">
        <v>31</v>
      </c>
      <c r="P6">
        <f>Table2[[#This Row],[Sales]]*(1-Table2[[#This Row],[Discount]])</f>
        <v>306</v>
      </c>
      <c r="Q6" s="2">
        <f>IF(Table2[[#This Row],[Sales]]=0,0,Table2[[#This Row],[Profit]]/Table2[[#This Row],[Sales]])</f>
        <v>0.23529411764705882</v>
      </c>
      <c r="R6" t="str">
        <f>TEXT(Table2[[#This Row],[Order Date]],"mmmm")</f>
        <v>January</v>
      </c>
    </row>
    <row r="7" spans="2:18" x14ac:dyDescent="0.3">
      <c r="B7">
        <v>2003</v>
      </c>
      <c r="C7" s="1" t="s">
        <v>32</v>
      </c>
      <c r="D7" t="s">
        <v>33</v>
      </c>
      <c r="E7" t="s">
        <v>34</v>
      </c>
      <c r="F7" t="s">
        <v>17</v>
      </c>
      <c r="G7" t="s">
        <v>35</v>
      </c>
      <c r="H7" t="s">
        <v>36</v>
      </c>
      <c r="I7">
        <v>1200</v>
      </c>
      <c r="J7">
        <v>250</v>
      </c>
      <c r="K7">
        <v>1</v>
      </c>
      <c r="L7">
        <v>0.15</v>
      </c>
      <c r="M7" t="s">
        <v>20</v>
      </c>
      <c r="N7" t="s">
        <v>37</v>
      </c>
      <c r="O7" t="s">
        <v>22</v>
      </c>
      <c r="P7">
        <f>Table2[[#This Row],[Sales]]*(1-Table2[[#This Row],[Discount]])</f>
        <v>1020</v>
      </c>
      <c r="Q7" s="2">
        <f>IF(Table2[[#This Row],[Sales]]=0,0,Table2[[#This Row],[Profit]]/Table2[[#This Row],[Sales]])</f>
        <v>0.20833333333333334</v>
      </c>
      <c r="R7" t="str">
        <f>TEXT(Table2[[#This Row],[Order Date]],"mmmm")</f>
        <v>January</v>
      </c>
    </row>
    <row r="8" spans="2:18" x14ac:dyDescent="0.3">
      <c r="B8">
        <v>2004</v>
      </c>
      <c r="C8" s="1" t="s">
        <v>38</v>
      </c>
      <c r="D8" t="s">
        <v>15</v>
      </c>
      <c r="E8" t="s">
        <v>39</v>
      </c>
      <c r="F8" t="s">
        <v>40</v>
      </c>
      <c r="G8" t="s">
        <v>41</v>
      </c>
      <c r="H8" t="s">
        <v>42</v>
      </c>
      <c r="I8">
        <v>180</v>
      </c>
      <c r="J8">
        <v>40</v>
      </c>
      <c r="K8">
        <v>2</v>
      </c>
      <c r="L8">
        <v>0</v>
      </c>
      <c r="M8" t="s">
        <v>20</v>
      </c>
      <c r="N8" t="s">
        <v>21</v>
      </c>
      <c r="O8" t="s">
        <v>22</v>
      </c>
      <c r="P8">
        <f>Table2[[#This Row],[Sales]]*(1-Table2[[#This Row],[Discount]])</f>
        <v>180</v>
      </c>
      <c r="Q8" s="2">
        <f>IF(Table2[[#This Row],[Sales]]=0,0,Table2[[#This Row],[Profit]]/Table2[[#This Row],[Sales]])</f>
        <v>0.22222222222222221</v>
      </c>
      <c r="R8" t="str">
        <f>TEXT(Table2[[#This Row],[Order Date]],"mmmm")</f>
        <v>January</v>
      </c>
    </row>
    <row r="9" spans="2:18" x14ac:dyDescent="0.3">
      <c r="B9">
        <v>2005</v>
      </c>
      <c r="C9" s="1" t="s">
        <v>43</v>
      </c>
      <c r="D9" t="s">
        <v>24</v>
      </c>
      <c r="E9" t="s">
        <v>44</v>
      </c>
      <c r="F9" t="s">
        <v>17</v>
      </c>
      <c r="G9" t="s">
        <v>45</v>
      </c>
      <c r="H9" t="s">
        <v>46</v>
      </c>
      <c r="I9">
        <v>900</v>
      </c>
      <c r="J9">
        <v>200</v>
      </c>
      <c r="K9">
        <v>1</v>
      </c>
      <c r="L9">
        <v>0.1</v>
      </c>
      <c r="M9" t="s">
        <v>20</v>
      </c>
      <c r="N9" t="s">
        <v>30</v>
      </c>
      <c r="O9" t="s">
        <v>47</v>
      </c>
      <c r="P9">
        <f>Table2[[#This Row],[Sales]]*(1-Table2[[#This Row],[Discount]])</f>
        <v>810</v>
      </c>
      <c r="Q9" s="2">
        <f>IF(Table2[[#This Row],[Sales]]=0,0,Table2[[#This Row],[Profit]]/Table2[[#This Row],[Sales]])</f>
        <v>0.22222222222222221</v>
      </c>
      <c r="R9" t="str">
        <f>TEXT(Table2[[#This Row],[Order Date]],"mmmm")</f>
        <v>January</v>
      </c>
    </row>
    <row r="10" spans="2:18" x14ac:dyDescent="0.3">
      <c r="B10">
        <v>2006</v>
      </c>
      <c r="C10" s="1" t="s">
        <v>48</v>
      </c>
      <c r="D10" t="s">
        <v>33</v>
      </c>
      <c r="E10" t="s">
        <v>49</v>
      </c>
      <c r="F10" t="s">
        <v>26</v>
      </c>
      <c r="G10" t="s">
        <v>50</v>
      </c>
      <c r="H10" t="s">
        <v>51</v>
      </c>
      <c r="I10">
        <v>450</v>
      </c>
      <c r="J10">
        <v>120</v>
      </c>
      <c r="K10">
        <v>1</v>
      </c>
      <c r="L10">
        <v>0.05</v>
      </c>
      <c r="M10" t="s">
        <v>52</v>
      </c>
      <c r="N10" t="s">
        <v>30</v>
      </c>
      <c r="O10" t="s">
        <v>31</v>
      </c>
      <c r="P10">
        <f>Table2[[#This Row],[Sales]]*(1-Table2[[#This Row],[Discount]])</f>
        <v>427.5</v>
      </c>
      <c r="Q10" s="2">
        <f>IF(Table2[[#This Row],[Sales]]=0,0,Table2[[#This Row],[Profit]]/Table2[[#This Row],[Sales]])</f>
        <v>0.26666666666666666</v>
      </c>
      <c r="R10" t="str">
        <f>TEXT(Table2[[#This Row],[Order Date]],"mmmm")</f>
        <v>January</v>
      </c>
    </row>
    <row r="11" spans="2:18" x14ac:dyDescent="0.3">
      <c r="B11">
        <v>2007</v>
      </c>
      <c r="C11" s="1" t="s">
        <v>53</v>
      </c>
      <c r="D11" t="s">
        <v>15</v>
      </c>
      <c r="E11" t="s">
        <v>16</v>
      </c>
      <c r="F11" t="s">
        <v>40</v>
      </c>
      <c r="G11" t="s">
        <v>54</v>
      </c>
      <c r="H11" t="s">
        <v>55</v>
      </c>
      <c r="I11">
        <v>60</v>
      </c>
      <c r="J11">
        <v>15</v>
      </c>
      <c r="K11">
        <v>3</v>
      </c>
      <c r="L11">
        <v>0</v>
      </c>
      <c r="M11" t="s">
        <v>20</v>
      </c>
      <c r="N11" t="s">
        <v>21</v>
      </c>
      <c r="O11" t="s">
        <v>22</v>
      </c>
      <c r="P11">
        <f>Table2[[#This Row],[Sales]]*(1-Table2[[#This Row],[Discount]])</f>
        <v>60</v>
      </c>
      <c r="Q11" s="2">
        <f>IF(Table2[[#This Row],[Sales]]=0,0,Table2[[#This Row],[Profit]]/Table2[[#This Row],[Sales]])</f>
        <v>0.25</v>
      </c>
      <c r="R11" t="str">
        <f>TEXT(Table2[[#This Row],[Order Date]],"mmmm")</f>
        <v>January</v>
      </c>
    </row>
    <row r="12" spans="2:18" x14ac:dyDescent="0.3">
      <c r="B12">
        <v>2008</v>
      </c>
      <c r="C12" s="1" t="s">
        <v>56</v>
      </c>
      <c r="D12" t="s">
        <v>24</v>
      </c>
      <c r="E12" t="s">
        <v>57</v>
      </c>
      <c r="F12" t="s">
        <v>17</v>
      </c>
      <c r="G12" t="s">
        <v>58</v>
      </c>
      <c r="H12" t="s">
        <v>59</v>
      </c>
      <c r="I12">
        <v>650</v>
      </c>
      <c r="J12">
        <v>150</v>
      </c>
      <c r="K12">
        <v>1</v>
      </c>
      <c r="L12">
        <v>0.12</v>
      </c>
      <c r="M12" t="s">
        <v>29</v>
      </c>
      <c r="N12" t="s">
        <v>37</v>
      </c>
      <c r="O12" t="s">
        <v>47</v>
      </c>
      <c r="P12">
        <f>Table2[[#This Row],[Sales]]*(1-Table2[[#This Row],[Discount]])</f>
        <v>572</v>
      </c>
      <c r="Q12" s="2">
        <f>IF(Table2[[#This Row],[Sales]]=0,0,Table2[[#This Row],[Profit]]/Table2[[#This Row],[Sales]])</f>
        <v>0.23076923076923078</v>
      </c>
      <c r="R12" t="str">
        <f>TEXT(Table2[[#This Row],[Order Date]],"mmmm")</f>
        <v>January</v>
      </c>
    </row>
    <row r="13" spans="2:18" x14ac:dyDescent="0.3">
      <c r="B13">
        <v>2009</v>
      </c>
      <c r="C13" s="1" t="s">
        <v>60</v>
      </c>
      <c r="D13" t="s">
        <v>33</v>
      </c>
      <c r="E13" t="s">
        <v>34</v>
      </c>
      <c r="F13" t="s">
        <v>40</v>
      </c>
      <c r="G13" t="s">
        <v>61</v>
      </c>
      <c r="H13" t="s">
        <v>62</v>
      </c>
      <c r="I13">
        <v>220</v>
      </c>
      <c r="J13">
        <v>60</v>
      </c>
      <c r="K13">
        <v>2</v>
      </c>
      <c r="L13">
        <v>0.08</v>
      </c>
      <c r="M13" t="s">
        <v>20</v>
      </c>
      <c r="N13" t="s">
        <v>21</v>
      </c>
      <c r="O13" t="s">
        <v>22</v>
      </c>
      <c r="P13">
        <f>Table2[[#This Row],[Sales]]*(1-Table2[[#This Row],[Discount]])</f>
        <v>202.4</v>
      </c>
      <c r="Q13" s="2">
        <f>IF(Table2[[#This Row],[Sales]]=0,0,Table2[[#This Row],[Profit]]/Table2[[#This Row],[Sales]])</f>
        <v>0.27272727272727271</v>
      </c>
      <c r="R13" t="str">
        <f>TEXT(Table2[[#This Row],[Order Date]],"mmmm")</f>
        <v>January</v>
      </c>
    </row>
    <row r="14" spans="2:18" x14ac:dyDescent="0.3">
      <c r="B14">
        <v>2010</v>
      </c>
      <c r="C14" s="1" t="s">
        <v>63</v>
      </c>
      <c r="D14" t="s">
        <v>15</v>
      </c>
      <c r="E14" t="s">
        <v>64</v>
      </c>
      <c r="F14" t="s">
        <v>17</v>
      </c>
      <c r="G14" t="s">
        <v>65</v>
      </c>
      <c r="H14" t="s">
        <v>66</v>
      </c>
      <c r="I14">
        <v>500</v>
      </c>
      <c r="J14">
        <v>110</v>
      </c>
      <c r="K14">
        <v>1</v>
      </c>
      <c r="L14">
        <v>0.1</v>
      </c>
      <c r="M14" t="s">
        <v>29</v>
      </c>
      <c r="N14" t="s">
        <v>30</v>
      </c>
      <c r="O14" t="s">
        <v>31</v>
      </c>
      <c r="P14">
        <f>Table2[[#This Row],[Sales]]*(1-Table2[[#This Row],[Discount]])</f>
        <v>450</v>
      </c>
      <c r="Q14" s="2">
        <f>IF(Table2[[#This Row],[Sales]]=0,0,Table2[[#This Row],[Profit]]/Table2[[#This Row],[Sales]])</f>
        <v>0.22</v>
      </c>
      <c r="R14" t="str">
        <f>TEXT(Table2[[#This Row],[Order Date]],"mmmm")</f>
        <v>January</v>
      </c>
    </row>
    <row r="15" spans="2:18" x14ac:dyDescent="0.3">
      <c r="B15">
        <v>2011</v>
      </c>
      <c r="C15" s="1" t="s">
        <v>67</v>
      </c>
      <c r="D15" t="s">
        <v>24</v>
      </c>
      <c r="E15" t="s">
        <v>25</v>
      </c>
      <c r="F15" t="s">
        <v>40</v>
      </c>
      <c r="G15" t="s">
        <v>68</v>
      </c>
      <c r="H15" t="s">
        <v>69</v>
      </c>
      <c r="I15">
        <v>140</v>
      </c>
      <c r="J15">
        <v>35</v>
      </c>
      <c r="K15">
        <v>2</v>
      </c>
      <c r="L15">
        <v>0</v>
      </c>
      <c r="M15" t="s">
        <v>20</v>
      </c>
      <c r="N15" t="s">
        <v>21</v>
      </c>
      <c r="O15" t="s">
        <v>22</v>
      </c>
      <c r="P15">
        <f>Table2[[#This Row],[Sales]]*(1-Table2[[#This Row],[Discount]])</f>
        <v>140</v>
      </c>
      <c r="Q15" s="2">
        <f>IF(Table2[[#This Row],[Sales]]=0,0,Table2[[#This Row],[Profit]]/Table2[[#This Row],[Sales]])</f>
        <v>0.25</v>
      </c>
      <c r="R15" t="str">
        <f>TEXT(Table2[[#This Row],[Order Date]],"mmmm")</f>
        <v>February</v>
      </c>
    </row>
    <row r="16" spans="2:18" x14ac:dyDescent="0.3">
      <c r="B16">
        <v>2012</v>
      </c>
      <c r="C16" s="1" t="s">
        <v>70</v>
      </c>
      <c r="D16" t="s">
        <v>33</v>
      </c>
      <c r="E16" t="s">
        <v>34</v>
      </c>
      <c r="F16" t="s">
        <v>17</v>
      </c>
      <c r="G16" t="s">
        <v>71</v>
      </c>
      <c r="H16" t="s">
        <v>72</v>
      </c>
      <c r="I16">
        <v>300</v>
      </c>
      <c r="J16">
        <v>75</v>
      </c>
      <c r="K16">
        <v>1</v>
      </c>
      <c r="L16">
        <v>0.05</v>
      </c>
      <c r="M16" t="s">
        <v>52</v>
      </c>
      <c r="N16" t="s">
        <v>37</v>
      </c>
      <c r="O16" t="s">
        <v>22</v>
      </c>
      <c r="P16">
        <f>Table2[[#This Row],[Sales]]*(1-Table2[[#This Row],[Discount]])</f>
        <v>285</v>
      </c>
      <c r="Q16" s="2">
        <f>IF(Table2[[#This Row],[Sales]]=0,0,Table2[[#This Row],[Profit]]/Table2[[#This Row],[Sales]])</f>
        <v>0.25</v>
      </c>
      <c r="R16" t="str">
        <f>TEXT(Table2[[#This Row],[Order Date]],"mmmm")</f>
        <v>February</v>
      </c>
    </row>
    <row r="17" spans="2:18" x14ac:dyDescent="0.3">
      <c r="B17">
        <v>2013</v>
      </c>
      <c r="C17" s="1" t="s">
        <v>73</v>
      </c>
      <c r="D17" t="s">
        <v>15</v>
      </c>
      <c r="E17" t="s">
        <v>16</v>
      </c>
      <c r="F17" t="s">
        <v>26</v>
      </c>
      <c r="G17" t="s">
        <v>74</v>
      </c>
      <c r="H17" t="s">
        <v>75</v>
      </c>
      <c r="I17">
        <v>260</v>
      </c>
      <c r="J17">
        <v>55</v>
      </c>
      <c r="K17">
        <v>1</v>
      </c>
      <c r="L17">
        <v>0.1</v>
      </c>
      <c r="M17" t="s">
        <v>29</v>
      </c>
      <c r="N17" t="s">
        <v>30</v>
      </c>
      <c r="O17" t="s">
        <v>31</v>
      </c>
      <c r="P17">
        <f>Table2[[#This Row],[Sales]]*(1-Table2[[#This Row],[Discount]])</f>
        <v>234</v>
      </c>
      <c r="Q17" s="2">
        <f>IF(Table2[[#This Row],[Sales]]=0,0,Table2[[#This Row],[Profit]]/Table2[[#This Row],[Sales]])</f>
        <v>0.21153846153846154</v>
      </c>
      <c r="R17" t="str">
        <f>TEXT(Table2[[#This Row],[Order Date]],"mmmm")</f>
        <v>February</v>
      </c>
    </row>
    <row r="18" spans="2:18" x14ac:dyDescent="0.3">
      <c r="B18">
        <v>2014</v>
      </c>
      <c r="C18" s="1" t="s">
        <v>76</v>
      </c>
      <c r="D18" t="s">
        <v>24</v>
      </c>
      <c r="E18" t="s">
        <v>44</v>
      </c>
      <c r="F18" t="s">
        <v>26</v>
      </c>
      <c r="G18" t="s">
        <v>50</v>
      </c>
      <c r="H18" t="s">
        <v>77</v>
      </c>
      <c r="I18">
        <v>520</v>
      </c>
      <c r="J18">
        <v>130</v>
      </c>
      <c r="K18">
        <v>1</v>
      </c>
      <c r="L18">
        <v>0.15</v>
      </c>
      <c r="M18" t="s">
        <v>52</v>
      </c>
      <c r="N18" t="s">
        <v>30</v>
      </c>
      <c r="O18" t="s">
        <v>47</v>
      </c>
      <c r="P18">
        <f>Table2[[#This Row],[Sales]]*(1-Table2[[#This Row],[Discount]])</f>
        <v>442</v>
      </c>
      <c r="Q18" s="2">
        <f>IF(Table2[[#This Row],[Sales]]=0,0,Table2[[#This Row],[Profit]]/Table2[[#This Row],[Sales]])</f>
        <v>0.25</v>
      </c>
      <c r="R18" t="str">
        <f>TEXT(Table2[[#This Row],[Order Date]],"mmmm")</f>
        <v>February</v>
      </c>
    </row>
    <row r="19" spans="2:18" x14ac:dyDescent="0.3">
      <c r="B19">
        <v>2015</v>
      </c>
      <c r="C19" s="1" t="s">
        <v>78</v>
      </c>
      <c r="D19" t="s">
        <v>33</v>
      </c>
      <c r="E19" t="s">
        <v>49</v>
      </c>
      <c r="F19" t="s">
        <v>17</v>
      </c>
      <c r="G19" t="s">
        <v>18</v>
      </c>
      <c r="H19" t="s">
        <v>79</v>
      </c>
      <c r="I19">
        <v>90</v>
      </c>
      <c r="J19">
        <v>20</v>
      </c>
      <c r="K19">
        <v>2</v>
      </c>
      <c r="L19">
        <v>0</v>
      </c>
      <c r="M19" t="s">
        <v>20</v>
      </c>
      <c r="N19" t="s">
        <v>21</v>
      </c>
      <c r="O19" t="s">
        <v>22</v>
      </c>
      <c r="P19">
        <f>Table2[[#This Row],[Sales]]*(1-Table2[[#This Row],[Discount]])</f>
        <v>90</v>
      </c>
      <c r="Q19" s="2">
        <f>IF(Table2[[#This Row],[Sales]]=0,0,Table2[[#This Row],[Profit]]/Table2[[#This Row],[Sales]])</f>
        <v>0.22222222222222221</v>
      </c>
      <c r="R19" t="str">
        <f>TEXT(Table2[[#This Row],[Order Date]],"mmmm")</f>
        <v>February</v>
      </c>
    </row>
    <row r="20" spans="2:18" x14ac:dyDescent="0.3">
      <c r="B20">
        <v>2016</v>
      </c>
      <c r="C20" s="1" t="s">
        <v>80</v>
      </c>
      <c r="D20" t="s">
        <v>15</v>
      </c>
      <c r="E20" t="s">
        <v>39</v>
      </c>
      <c r="F20" t="s">
        <v>40</v>
      </c>
      <c r="G20" t="s">
        <v>81</v>
      </c>
      <c r="H20" t="s">
        <v>82</v>
      </c>
      <c r="I20">
        <v>200</v>
      </c>
      <c r="J20">
        <v>45</v>
      </c>
      <c r="K20">
        <v>2</v>
      </c>
      <c r="L20">
        <v>0.05</v>
      </c>
      <c r="M20" t="s">
        <v>20</v>
      </c>
      <c r="N20" t="s">
        <v>21</v>
      </c>
      <c r="O20" t="s">
        <v>22</v>
      </c>
      <c r="P20">
        <f>Table2[[#This Row],[Sales]]*(1-Table2[[#This Row],[Discount]])</f>
        <v>190</v>
      </c>
      <c r="Q20" s="2">
        <f>IF(Table2[[#This Row],[Sales]]=0,0,Table2[[#This Row],[Profit]]/Table2[[#This Row],[Sales]])</f>
        <v>0.22500000000000001</v>
      </c>
      <c r="R20" t="str">
        <f>TEXT(Table2[[#This Row],[Order Date]],"mmmm")</f>
        <v>February</v>
      </c>
    </row>
    <row r="21" spans="2:18" x14ac:dyDescent="0.3">
      <c r="B21">
        <v>2017</v>
      </c>
      <c r="C21" s="1" t="s">
        <v>83</v>
      </c>
      <c r="D21" t="s">
        <v>24</v>
      </c>
      <c r="E21" t="s">
        <v>57</v>
      </c>
      <c r="F21" t="s">
        <v>17</v>
      </c>
      <c r="G21" t="s">
        <v>18</v>
      </c>
      <c r="H21" t="s">
        <v>84</v>
      </c>
      <c r="I21">
        <v>40</v>
      </c>
      <c r="J21">
        <v>10</v>
      </c>
      <c r="K21">
        <v>3</v>
      </c>
      <c r="L21">
        <v>0</v>
      </c>
      <c r="M21" t="s">
        <v>29</v>
      </c>
      <c r="N21" t="s">
        <v>30</v>
      </c>
      <c r="O21" t="s">
        <v>22</v>
      </c>
      <c r="P21">
        <f>Table2[[#This Row],[Sales]]*(1-Table2[[#This Row],[Discount]])</f>
        <v>40</v>
      </c>
      <c r="Q21" s="2">
        <f>IF(Table2[[#This Row],[Sales]]=0,0,Table2[[#This Row],[Profit]]/Table2[[#This Row],[Sales]])</f>
        <v>0.25</v>
      </c>
      <c r="R21" t="str">
        <f>TEXT(Table2[[#This Row],[Order Date]],"mmmm")</f>
        <v>February</v>
      </c>
    </row>
    <row r="22" spans="2:18" x14ac:dyDescent="0.3">
      <c r="B22">
        <v>2018</v>
      </c>
      <c r="C22" s="1" t="s">
        <v>85</v>
      </c>
      <c r="D22" t="s">
        <v>33</v>
      </c>
      <c r="E22" t="s">
        <v>34</v>
      </c>
      <c r="F22" t="s">
        <v>26</v>
      </c>
      <c r="G22" t="s">
        <v>74</v>
      </c>
      <c r="H22" t="s">
        <v>86</v>
      </c>
      <c r="I22">
        <v>780</v>
      </c>
      <c r="J22">
        <v>200</v>
      </c>
      <c r="K22">
        <v>1</v>
      </c>
      <c r="L22">
        <v>0.12</v>
      </c>
      <c r="M22" t="s">
        <v>29</v>
      </c>
      <c r="N22" t="s">
        <v>37</v>
      </c>
      <c r="O22" t="s">
        <v>31</v>
      </c>
      <c r="P22">
        <f>Table2[[#This Row],[Sales]]*(1-Table2[[#This Row],[Discount]])</f>
        <v>686.4</v>
      </c>
      <c r="Q22" s="2">
        <f>IF(Table2[[#This Row],[Sales]]=0,0,Table2[[#This Row],[Profit]]/Table2[[#This Row],[Sales]])</f>
        <v>0.25641025641025639</v>
      </c>
      <c r="R22" t="str">
        <f>TEXT(Table2[[#This Row],[Order Date]],"mmmm")</f>
        <v>February</v>
      </c>
    </row>
    <row r="23" spans="2:18" x14ac:dyDescent="0.3">
      <c r="B23">
        <v>2019</v>
      </c>
      <c r="C23" s="1" t="s">
        <v>87</v>
      </c>
      <c r="D23" t="s">
        <v>15</v>
      </c>
      <c r="E23" t="s">
        <v>64</v>
      </c>
      <c r="F23" t="s">
        <v>40</v>
      </c>
      <c r="G23" t="s">
        <v>18</v>
      </c>
      <c r="H23" t="s">
        <v>88</v>
      </c>
      <c r="I23">
        <v>35</v>
      </c>
      <c r="J23">
        <v>8</v>
      </c>
      <c r="K23">
        <v>4</v>
      </c>
      <c r="L23">
        <v>0</v>
      </c>
      <c r="M23" t="s">
        <v>20</v>
      </c>
      <c r="N23" t="s">
        <v>21</v>
      </c>
      <c r="O23" t="s">
        <v>22</v>
      </c>
      <c r="P23">
        <f>Table2[[#This Row],[Sales]]*(1-Table2[[#This Row],[Discount]])</f>
        <v>35</v>
      </c>
      <c r="Q23" s="2">
        <f>IF(Table2[[#This Row],[Sales]]=0,0,Table2[[#This Row],[Profit]]/Table2[[#This Row],[Sales]])</f>
        <v>0.22857142857142856</v>
      </c>
      <c r="R23" t="str">
        <f>TEXT(Table2[[#This Row],[Order Date]],"mmmm")</f>
        <v>February</v>
      </c>
    </row>
    <row r="24" spans="2:18" x14ac:dyDescent="0.3">
      <c r="B24">
        <v>2020</v>
      </c>
      <c r="C24" s="1" t="s">
        <v>89</v>
      </c>
      <c r="D24" t="s">
        <v>24</v>
      </c>
      <c r="E24" t="s">
        <v>25</v>
      </c>
      <c r="F24" t="s">
        <v>17</v>
      </c>
      <c r="G24" t="s">
        <v>90</v>
      </c>
      <c r="H24" t="s">
        <v>91</v>
      </c>
      <c r="I24">
        <v>150</v>
      </c>
      <c r="J24">
        <v>35</v>
      </c>
      <c r="K24">
        <v>1</v>
      </c>
      <c r="L24">
        <v>0.05</v>
      </c>
      <c r="M24" t="s">
        <v>20</v>
      </c>
      <c r="N24" t="s">
        <v>30</v>
      </c>
      <c r="O24" t="s">
        <v>22</v>
      </c>
      <c r="P24">
        <f>Table2[[#This Row],[Sales]]*(1-Table2[[#This Row],[Discount]])</f>
        <v>142.5</v>
      </c>
      <c r="Q24" s="2">
        <f>IF(Table2[[#This Row],[Sales]]=0,0,Table2[[#This Row],[Profit]]/Table2[[#This Row],[Sales]])</f>
        <v>0.23333333333333334</v>
      </c>
      <c r="R24" t="str">
        <f>TEXT(Table2[[#This Row],[Order Date]],"mmmm")</f>
        <v>February</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F9745-135A-40F0-BB62-F58E25EC8DEE}">
  <dimension ref="A3:F53"/>
  <sheetViews>
    <sheetView workbookViewId="0">
      <selection activeCell="D7" sqref="D7"/>
    </sheetView>
  </sheetViews>
  <sheetFormatPr defaultRowHeight="14.4" x14ac:dyDescent="0.3"/>
  <cols>
    <col min="1" max="2" width="12.109375" style="4" bestFit="1" customWidth="1"/>
    <col min="3" max="3" width="10" style="4" bestFit="1" customWidth="1"/>
    <col min="4" max="4" width="8.6640625" style="4" bestFit="1" customWidth="1"/>
    <col min="5" max="5" width="10.77734375" style="4" bestFit="1" customWidth="1"/>
    <col min="6" max="6" width="10" style="4" bestFit="1" customWidth="1"/>
    <col min="7" max="7" width="8.6640625" style="4" bestFit="1" customWidth="1"/>
    <col min="8" max="8" width="20" style="4" bestFit="1" customWidth="1"/>
    <col min="9" max="9" width="16.88671875" style="4" bestFit="1" customWidth="1"/>
    <col min="10" max="16384" width="8.88671875" style="4"/>
  </cols>
  <sheetData>
    <row r="3" spans="1:2" x14ac:dyDescent="0.3">
      <c r="A3" s="4" t="s">
        <v>95</v>
      </c>
    </row>
    <row r="4" spans="1:2" x14ac:dyDescent="0.3">
      <c r="A4" s="4">
        <v>4141.8999999999996</v>
      </c>
    </row>
    <row r="6" spans="1:2" x14ac:dyDescent="0.3">
      <c r="A6" s="4" t="s">
        <v>96</v>
      </c>
    </row>
    <row r="7" spans="1:2" x14ac:dyDescent="0.3">
      <c r="A7" s="4">
        <v>1055</v>
      </c>
    </row>
    <row r="9" spans="1:2" x14ac:dyDescent="0.3">
      <c r="A9" s="4" t="s">
        <v>97</v>
      </c>
    </row>
    <row r="10" spans="1:2" x14ac:dyDescent="0.3">
      <c r="A10" s="2">
        <v>0.23782350655880066</v>
      </c>
    </row>
    <row r="13" spans="1:2" x14ac:dyDescent="0.3">
      <c r="A13" s="5" t="s">
        <v>98</v>
      </c>
      <c r="B13" s="4" t="s">
        <v>95</v>
      </c>
    </row>
    <row r="14" spans="1:2" x14ac:dyDescent="0.3">
      <c r="A14" s="6" t="s">
        <v>99</v>
      </c>
      <c r="B14" s="4">
        <v>4141.8999999999996</v>
      </c>
    </row>
    <row r="15" spans="1:2" x14ac:dyDescent="0.3">
      <c r="A15" s="6" t="s">
        <v>100</v>
      </c>
      <c r="B15" s="4">
        <v>4141.8999999999996</v>
      </c>
    </row>
    <row r="16" spans="1:2" x14ac:dyDescent="0.3">
      <c r="A16"/>
      <c r="B16"/>
    </row>
    <row r="19" spans="1:5" x14ac:dyDescent="0.3">
      <c r="A19" s="5" t="s">
        <v>98</v>
      </c>
      <c r="B19" s="4" t="s">
        <v>95</v>
      </c>
      <c r="C19" s="4" t="s">
        <v>96</v>
      </c>
    </row>
    <row r="20" spans="1:5" x14ac:dyDescent="0.3">
      <c r="A20" s="6" t="s">
        <v>40</v>
      </c>
      <c r="B20" s="4">
        <v>442.4</v>
      </c>
      <c r="C20" s="4">
        <v>115</v>
      </c>
    </row>
    <row r="21" spans="1:5" x14ac:dyDescent="0.3">
      <c r="A21" s="6" t="s">
        <v>17</v>
      </c>
      <c r="B21" s="4">
        <v>2966</v>
      </c>
      <c r="C21" s="4">
        <v>740</v>
      </c>
    </row>
    <row r="22" spans="1:5" x14ac:dyDescent="0.3">
      <c r="A22" s="6" t="s">
        <v>26</v>
      </c>
      <c r="B22" s="4">
        <v>733.5</v>
      </c>
      <c r="C22" s="4">
        <v>200</v>
      </c>
    </row>
    <row r="23" spans="1:5" x14ac:dyDescent="0.3">
      <c r="A23" s="6" t="s">
        <v>100</v>
      </c>
      <c r="B23" s="4">
        <v>4141.8999999999996</v>
      </c>
      <c r="C23" s="4">
        <v>1055</v>
      </c>
    </row>
    <row r="26" spans="1:5" x14ac:dyDescent="0.3">
      <c r="A26" s="5" t="s">
        <v>95</v>
      </c>
      <c r="B26" s="5" t="s">
        <v>101</v>
      </c>
    </row>
    <row r="27" spans="1:5" x14ac:dyDescent="0.3">
      <c r="A27" s="5" t="s">
        <v>98</v>
      </c>
      <c r="B27" s="4" t="s">
        <v>40</v>
      </c>
      <c r="C27" s="4" t="s">
        <v>17</v>
      </c>
      <c r="D27" s="4" t="s">
        <v>26</v>
      </c>
      <c r="E27" s="4" t="s">
        <v>100</v>
      </c>
    </row>
    <row r="28" spans="1:5" x14ac:dyDescent="0.3">
      <c r="A28" s="6" t="s">
        <v>15</v>
      </c>
      <c r="B28" s="4">
        <v>240</v>
      </c>
      <c r="C28" s="4">
        <v>564</v>
      </c>
      <c r="E28" s="4">
        <v>804</v>
      </c>
    </row>
    <row r="29" spans="1:5" x14ac:dyDescent="0.3">
      <c r="A29" s="6" t="s">
        <v>24</v>
      </c>
      <c r="C29" s="4">
        <v>1382</v>
      </c>
      <c r="D29" s="4">
        <v>306</v>
      </c>
      <c r="E29" s="4">
        <v>1688</v>
      </c>
    </row>
    <row r="30" spans="1:5" x14ac:dyDescent="0.3">
      <c r="A30" s="6" t="s">
        <v>33</v>
      </c>
      <c r="B30" s="4">
        <v>202.4</v>
      </c>
      <c r="C30" s="4">
        <v>1020</v>
      </c>
      <c r="D30" s="4">
        <v>427.5</v>
      </c>
      <c r="E30" s="4">
        <v>1649.9</v>
      </c>
    </row>
    <row r="31" spans="1:5" x14ac:dyDescent="0.3">
      <c r="A31" s="6" t="s">
        <v>100</v>
      </c>
      <c r="B31" s="4">
        <v>442.4</v>
      </c>
      <c r="C31" s="4">
        <v>2966</v>
      </c>
      <c r="D31" s="4">
        <v>733.5</v>
      </c>
      <c r="E31" s="4">
        <v>4141.8999999999996</v>
      </c>
    </row>
    <row r="34" spans="1:6" x14ac:dyDescent="0.3">
      <c r="A34" s="5" t="s">
        <v>98</v>
      </c>
      <c r="B34" s="4" t="s">
        <v>96</v>
      </c>
      <c r="D34" s="7"/>
      <c r="E34" s="8"/>
      <c r="F34" s="9"/>
    </row>
    <row r="35" spans="1:6" x14ac:dyDescent="0.3">
      <c r="A35" s="6">
        <v>0</v>
      </c>
      <c r="B35" s="4">
        <v>55</v>
      </c>
      <c r="D35" s="10"/>
      <c r="E35" s="11"/>
      <c r="F35" s="12"/>
    </row>
    <row r="36" spans="1:6" x14ac:dyDescent="0.3">
      <c r="A36" s="6">
        <v>0.05</v>
      </c>
      <c r="B36" s="4">
        <v>150</v>
      </c>
      <c r="D36" s="10"/>
      <c r="E36" s="11"/>
      <c r="F36" s="12"/>
    </row>
    <row r="37" spans="1:6" x14ac:dyDescent="0.3">
      <c r="A37" s="6">
        <v>0.08</v>
      </c>
      <c r="B37" s="4">
        <v>60</v>
      </c>
      <c r="D37" s="10"/>
      <c r="E37" s="11"/>
      <c r="F37" s="12"/>
    </row>
    <row r="38" spans="1:6" x14ac:dyDescent="0.3">
      <c r="A38" s="6">
        <v>0.1</v>
      </c>
      <c r="B38" s="4">
        <v>390</v>
      </c>
      <c r="D38" s="10"/>
      <c r="E38" s="11"/>
      <c r="F38" s="12"/>
    </row>
    <row r="39" spans="1:6" x14ac:dyDescent="0.3">
      <c r="A39" s="6">
        <v>0.12</v>
      </c>
      <c r="B39" s="4">
        <v>150</v>
      </c>
      <c r="D39" s="10"/>
      <c r="E39" s="11"/>
      <c r="F39" s="12"/>
    </row>
    <row r="40" spans="1:6" x14ac:dyDescent="0.3">
      <c r="A40" s="6">
        <v>0.15</v>
      </c>
      <c r="B40" s="4">
        <v>250</v>
      </c>
      <c r="D40" s="10"/>
      <c r="E40" s="11"/>
      <c r="F40" s="12"/>
    </row>
    <row r="41" spans="1:6" x14ac:dyDescent="0.3">
      <c r="A41" s="6" t="s">
        <v>100</v>
      </c>
      <c r="B41" s="4">
        <v>1055</v>
      </c>
      <c r="D41" s="10"/>
      <c r="E41" s="11"/>
      <c r="F41" s="12"/>
    </row>
    <row r="42" spans="1:6" x14ac:dyDescent="0.3">
      <c r="D42" s="10"/>
      <c r="E42" s="11"/>
      <c r="F42" s="12"/>
    </row>
    <row r="43" spans="1:6" x14ac:dyDescent="0.3">
      <c r="A43" s="5" t="s">
        <v>98</v>
      </c>
      <c r="B43" s="4" t="s">
        <v>95</v>
      </c>
      <c r="D43" s="10"/>
      <c r="E43" s="11"/>
      <c r="F43" s="12"/>
    </row>
    <row r="44" spans="1:6" x14ac:dyDescent="0.3">
      <c r="A44" s="6" t="s">
        <v>15</v>
      </c>
      <c r="B44" s="4">
        <v>804</v>
      </c>
      <c r="D44" s="10"/>
      <c r="E44" s="11"/>
      <c r="F44" s="12"/>
    </row>
    <row r="45" spans="1:6" x14ac:dyDescent="0.3">
      <c r="A45" s="6" t="s">
        <v>24</v>
      </c>
      <c r="B45" s="4">
        <v>1688</v>
      </c>
      <c r="D45" s="10"/>
      <c r="E45" s="11"/>
      <c r="F45" s="12"/>
    </row>
    <row r="46" spans="1:6" x14ac:dyDescent="0.3">
      <c r="A46" s="6" t="s">
        <v>33</v>
      </c>
      <c r="B46" s="4">
        <v>1649.9</v>
      </c>
      <c r="D46" s="10"/>
      <c r="E46" s="11"/>
      <c r="F46" s="12"/>
    </row>
    <row r="47" spans="1:6" x14ac:dyDescent="0.3">
      <c r="A47" s="6" t="s">
        <v>100</v>
      </c>
      <c r="B47" s="4">
        <v>4141.8999999999996</v>
      </c>
      <c r="D47" s="10"/>
      <c r="E47" s="11"/>
      <c r="F47" s="12"/>
    </row>
    <row r="48" spans="1:6" x14ac:dyDescent="0.3">
      <c r="D48" s="10"/>
      <c r="E48" s="11"/>
      <c r="F48" s="12"/>
    </row>
    <row r="49" spans="1:6" x14ac:dyDescent="0.3">
      <c r="A49" s="5" t="s">
        <v>98</v>
      </c>
      <c r="B49" s="4" t="s">
        <v>96</v>
      </c>
      <c r="C49"/>
      <c r="D49" s="10"/>
      <c r="E49" s="11"/>
      <c r="F49" s="12"/>
    </row>
    <row r="50" spans="1:6" x14ac:dyDescent="0.3">
      <c r="A50" s="6" t="s">
        <v>40</v>
      </c>
      <c r="B50" s="4">
        <v>115</v>
      </c>
      <c r="C50"/>
      <c r="D50" s="10"/>
      <c r="E50" s="11"/>
      <c r="F50" s="12"/>
    </row>
    <row r="51" spans="1:6" x14ac:dyDescent="0.3">
      <c r="A51" s="6" t="s">
        <v>17</v>
      </c>
      <c r="B51" s="4">
        <v>740</v>
      </c>
      <c r="C51"/>
      <c r="D51" s="13"/>
      <c r="E51" s="14"/>
      <c r="F51" s="15"/>
    </row>
    <row r="52" spans="1:6" x14ac:dyDescent="0.3">
      <c r="A52" s="6" t="s">
        <v>26</v>
      </c>
      <c r="B52" s="4">
        <v>200</v>
      </c>
      <c r="C52"/>
    </row>
    <row r="53" spans="1:6" x14ac:dyDescent="0.3">
      <c r="A53" s="6" t="s">
        <v>100</v>
      </c>
      <c r="B53" s="4">
        <v>1055</v>
      </c>
      <c r="C53"/>
    </row>
  </sheetData>
  <dataConsolid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E7B3E5-84EE-4DE7-845C-84236A91C5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Dashboard</vt:lpstr>
      <vt:lpstr>DataSet</vt:lpstr>
      <vt:lpstr>Pivot Table</vt:lpstr>
      <vt:lpstr>Margin</vt:lpstr>
      <vt:lpstr>Netsales</vt:lpstr>
      <vt:lpstr>Profit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Tharun S</dc:creator>
  <cp:lastModifiedBy>Tharun S</cp:lastModifiedBy>
  <dcterms:created xsi:type="dcterms:W3CDTF">2026-02-24T08:04:30Z</dcterms:created>
  <dcterms:modified xsi:type="dcterms:W3CDTF">2026-10-04T09:36:07Z</dcterms:modified>
</cp:coreProperties>
</file>